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10.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pivotTables/pivotTable11.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6a859e6a1d12ff3/Documents/"/>
    </mc:Choice>
  </mc:AlternateContent>
  <xr:revisionPtr revIDLastSave="1473" documentId="8_{6177B70B-B8D2-4699-BA2F-C6ACE84E2B1D}" xr6:coauthVersionLast="47" xr6:coauthVersionMax="47" xr10:uidLastSave="{181109D5-8567-4F13-BA01-B9FD2FF17E59}"/>
  <bookViews>
    <workbookView xWindow="-120" yWindow="-120" windowWidth="24240" windowHeight="13020" firstSheet="10" activeTab="11" xr2:uid="{807445B4-EAC0-4F5F-8670-E957E666AD81}"/>
  </bookViews>
  <sheets>
    <sheet name="Average price per category" sheetId="3" r:id="rId1"/>
    <sheet name="total stock per category" sheetId="4" r:id="rId2"/>
    <sheet name="Most expensive brands by avg pr" sheetId="6" r:id="rId3"/>
    <sheet name="Availability count per category" sheetId="7" r:id="rId4"/>
    <sheet name="Top 10 brands by stock" sheetId="8" r:id="rId5"/>
    <sheet name="Total price per category" sheetId="14" r:id="rId6"/>
    <sheet name="Total inventory value per cat" sheetId="15" r:id="rId7"/>
    <sheet name="Top 10 brands by inventory val" sheetId="18" r:id="rId8"/>
    <sheet name="Cat with the most high outliers" sheetId="22" r:id="rId9"/>
    <sheet name="Cat with the most stock outlier" sheetId="23" r:id="rId10"/>
    <sheet name="Cat stock against inv value" sheetId="24" r:id="rId11"/>
    <sheet name="Dashboard" sheetId="29" r:id="rId12"/>
    <sheet name="products" sheetId="2" r:id="rId13"/>
    <sheet name="LOOKUPTABLE1" sheetId="19" r:id="rId14"/>
    <sheet name="LOOKUPTABLE2" sheetId="20" r:id="rId15"/>
  </sheets>
  <definedNames>
    <definedName name="_xlchart.v1.0" hidden="1">products!$E$2:$E$101</definedName>
    <definedName name="_xlcn.WorksheetConnection_Prpoducts.xlsxproducts" hidden="1">products[]</definedName>
    <definedName name="ExternalData_1" localSheetId="12" hidden="1">products!$A$1:$L$102</definedName>
    <definedName name="Slicer_Availability">#N/A</definedName>
    <definedName name="Slicer_Category">#N/A</definedName>
    <definedName name="Slicer_Category1">#N/A</definedName>
    <definedName name="Slicer_Category2">#N/A</definedName>
    <definedName name="Slicer_Inventory_Val._Status">#N/A</definedName>
    <definedName name="Slicer_Sock_Status">#N/A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Prpoducts.xlsx!produc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9"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2" i="2"/>
  <c r="Q2" i="2"/>
  <c r="C137" i="2"/>
  <c r="D139" i="2"/>
  <c r="M2" i="2" a="1"/>
  <c r="M2" i="2" s="1"/>
  <c r="O2" i="2"/>
  <c r="G102" i="2"/>
  <c r="Q3" i="2" s="1"/>
  <c r="O3" i="2"/>
  <c r="A2" i="20" a="1"/>
  <c r="A2" i="19" a="1"/>
  <c r="C14" i="19" s="1" a="1"/>
  <c r="C14" i="19" s="1"/>
  <c r="O32" i="2"/>
  <c r="M102" i="2" a="1"/>
  <c r="M102" i="2" s="1"/>
  <c r="O61" i="2"/>
  <c r="O37" i="2"/>
  <c r="O95" i="2"/>
  <c r="O26" i="2"/>
  <c r="O13" i="2"/>
  <c r="O51" i="2"/>
  <c r="O33" i="2"/>
  <c r="O92" i="2"/>
  <c r="O86" i="2"/>
  <c r="O93" i="2"/>
  <c r="O36" i="2"/>
  <c r="O59" i="2"/>
  <c r="O52" i="2"/>
  <c r="O96" i="2"/>
  <c r="O97" i="2"/>
  <c r="O9" i="2"/>
  <c r="O90" i="2"/>
  <c r="O91" i="2"/>
  <c r="O4" i="2"/>
  <c r="O23" i="2"/>
  <c r="O94" i="2"/>
  <c r="O69" i="2"/>
  <c r="O27" i="2"/>
  <c r="O24" i="2"/>
  <c r="O14" i="2"/>
  <c r="O81" i="2"/>
  <c r="O66" i="2"/>
  <c r="O98" i="2"/>
  <c r="O44" i="2"/>
  <c r="O53" i="2"/>
  <c r="O38" i="2"/>
  <c r="O40" i="2"/>
  <c r="O15" i="2"/>
  <c r="O46" i="2"/>
  <c r="O74" i="2"/>
  <c r="O87" i="2"/>
  <c r="O48" i="2"/>
  <c r="O57" i="2"/>
  <c r="O34" i="2"/>
  <c r="O16" i="2"/>
  <c r="O72" i="2"/>
  <c r="O17" i="2"/>
  <c r="O67" i="2"/>
  <c r="O21" i="2"/>
  <c r="O45" i="2"/>
  <c r="O18" i="2"/>
  <c r="O68" i="2"/>
  <c r="O62" i="2"/>
  <c r="O83" i="2"/>
  <c r="O70" i="2"/>
  <c r="O5" i="2"/>
  <c r="O84" i="2"/>
  <c r="O39" i="2"/>
  <c r="O54" i="2"/>
  <c r="O28" i="2"/>
  <c r="O35" i="2"/>
  <c r="O6" i="2"/>
  <c r="O29" i="2"/>
  <c r="O55" i="2"/>
  <c r="O88" i="2"/>
  <c r="O85" i="2"/>
  <c r="O47" i="2"/>
  <c r="O7" i="2"/>
  <c r="O63" i="2"/>
  <c r="O41" i="2"/>
  <c r="O82" i="2"/>
  <c r="O99" i="2"/>
  <c r="O89" i="2"/>
  <c r="O64" i="2"/>
  <c r="O49" i="2"/>
  <c r="O76" i="2"/>
  <c r="O25" i="2"/>
  <c r="O77" i="2"/>
  <c r="O42" i="2"/>
  <c r="O10" i="2"/>
  <c r="O22" i="2"/>
  <c r="O78" i="2"/>
  <c r="O19" i="2"/>
  <c r="O100" i="2"/>
  <c r="O75" i="2"/>
  <c r="O30" i="2"/>
  <c r="O11" i="2"/>
  <c r="O79" i="2"/>
  <c r="O8" i="2"/>
  <c r="O73" i="2"/>
  <c r="O60" i="2"/>
  <c r="O65" i="2"/>
  <c r="O58" i="2"/>
  <c r="O20" i="2"/>
  <c r="O80" i="2"/>
  <c r="O101" i="2"/>
  <c r="O43" i="2"/>
  <c r="O56" i="2"/>
  <c r="O71" i="2"/>
  <c r="O31" i="2"/>
  <c r="O50" i="2"/>
  <c r="O12" i="2"/>
  <c r="M18" i="2" a="1"/>
  <c r="M18" i="2" s="1"/>
  <c r="M81" i="2" a="1"/>
  <c r="M81" i="2" s="1"/>
  <c r="M66" i="2" a="1"/>
  <c r="M66" i="2" s="1"/>
  <c r="M68" i="2" a="1"/>
  <c r="M68" i="2" s="1"/>
  <c r="M62" i="2" a="1"/>
  <c r="M62" i="2" s="1"/>
  <c r="M83" i="2" a="1"/>
  <c r="M83" i="2" s="1"/>
  <c r="M70" i="2" a="1"/>
  <c r="M70" i="2" s="1"/>
  <c r="M5" i="2" a="1"/>
  <c r="M5" i="2" s="1"/>
  <c r="M84" i="2" a="1"/>
  <c r="M84" i="2" s="1"/>
  <c r="M39" i="2" a="1"/>
  <c r="M39" i="2" s="1"/>
  <c r="M54" i="2" a="1"/>
  <c r="M54" i="2" s="1"/>
  <c r="M28" i="2" a="1"/>
  <c r="M28" i="2" s="1"/>
  <c r="M35" i="2" a="1"/>
  <c r="M35" i="2" s="1"/>
  <c r="M6" i="2" a="1"/>
  <c r="M6" i="2" s="1"/>
  <c r="M29" i="2" a="1"/>
  <c r="M29" i="2" s="1"/>
  <c r="M95" i="2" a="1"/>
  <c r="M95" i="2" s="1"/>
  <c r="M3" i="2" a="1"/>
  <c r="M3" i="2" s="1"/>
  <c r="M55" i="2" a="1"/>
  <c r="M55" i="2" s="1"/>
  <c r="M26" i="2" a="1"/>
  <c r="M26" i="2" s="1"/>
  <c r="M88" i="2" a="1"/>
  <c r="M88" i="2" s="1"/>
  <c r="M98" i="2" a="1"/>
  <c r="M98" i="2" s="1"/>
  <c r="M13" i="2" a="1"/>
  <c r="M13" i="2" s="1"/>
  <c r="M85" i="2" a="1"/>
  <c r="M85" i="2" s="1"/>
  <c r="M47" i="2" a="1"/>
  <c r="M47" i="2" s="1"/>
  <c r="M51" i="2" a="1"/>
  <c r="M51" i="2" s="1"/>
  <c r="M33" i="2" a="1"/>
  <c r="M33" i="2" s="1"/>
  <c r="M7" i="2" a="1"/>
  <c r="M7" i="2" s="1"/>
  <c r="M32" i="2" a="1"/>
  <c r="M32" i="2" s="1"/>
  <c r="M44" i="2" a="1"/>
  <c r="M44" i="2" s="1"/>
  <c r="M63" i="2" a="1"/>
  <c r="M63" i="2" s="1"/>
  <c r="M92" i="2" a="1"/>
  <c r="M92" i="2" s="1"/>
  <c r="M41" i="2" a="1"/>
  <c r="M41" i="2" s="1"/>
  <c r="M86" i="2" a="1"/>
  <c r="M86" i="2" s="1"/>
  <c r="M61" i="2" a="1"/>
  <c r="M61" i="2" s="1"/>
  <c r="M82" i="2" a="1"/>
  <c r="M82" i="2" s="1"/>
  <c r="M99" i="2" a="1"/>
  <c r="M99" i="2" s="1"/>
  <c r="M89" i="2" a="1"/>
  <c r="M89" i="2" s="1"/>
  <c r="M64" i="2" a="1"/>
  <c r="M64" i="2" s="1"/>
  <c r="M93" i="2" a="1"/>
  <c r="M93" i="2" s="1"/>
  <c r="M49" i="2" a="1"/>
  <c r="M49" i="2" s="1"/>
  <c r="M36" i="2" a="1"/>
  <c r="M36" i="2" s="1"/>
  <c r="M76" i="2" a="1"/>
  <c r="M76" i="2" s="1"/>
  <c r="M59" i="2" a="1"/>
  <c r="M59" i="2" s="1"/>
  <c r="M53" i="2" a="1"/>
  <c r="M53" i="2" s="1"/>
  <c r="M37" i="2" a="1"/>
  <c r="M37" i="2" s="1"/>
  <c r="M52" i="2" a="1"/>
  <c r="M52" i="2" s="1"/>
  <c r="M25" i="2" a="1"/>
  <c r="M25" i="2" s="1"/>
  <c r="M96" i="2" a="1"/>
  <c r="M96" i="2" s="1"/>
  <c r="M77" i="2" a="1"/>
  <c r="M77" i="2" s="1"/>
  <c r="M42" i="2" a="1"/>
  <c r="M42" i="2" s="1"/>
  <c r="M38" i="2" a="1"/>
  <c r="M38" i="2" s="1"/>
  <c r="M40" i="2" a="1"/>
  <c r="M40" i="2" s="1"/>
  <c r="M10" i="2" a="1"/>
  <c r="M10" i="2" s="1"/>
  <c r="M15" i="2" a="1"/>
  <c r="M15" i="2" s="1"/>
  <c r="M22" i="2" a="1"/>
  <c r="M22" i="2" s="1"/>
  <c r="M78" i="2" a="1"/>
  <c r="M78" i="2" s="1"/>
  <c r="M19" i="2" a="1"/>
  <c r="M19" i="2" s="1"/>
  <c r="M100" i="2" a="1"/>
  <c r="M100" i="2" s="1"/>
  <c r="M75" i="2" a="1"/>
  <c r="M75" i="2" s="1"/>
  <c r="M46" i="2" a="1"/>
  <c r="M46" i="2" s="1"/>
  <c r="M74" i="2" a="1"/>
  <c r="M74" i="2" s="1"/>
  <c r="M30" i="2" a="1"/>
  <c r="M30" i="2" s="1"/>
  <c r="M11" i="2" a="1"/>
  <c r="M11" i="2" s="1"/>
  <c r="M79" i="2" a="1"/>
  <c r="M79" i="2" s="1"/>
  <c r="M87" i="2" a="1"/>
  <c r="M87" i="2" s="1"/>
  <c r="M97" i="2" a="1"/>
  <c r="M97" i="2" s="1"/>
  <c r="M48" i="2" a="1"/>
  <c r="M48" i="2" s="1"/>
  <c r="M9" i="2" a="1"/>
  <c r="M9" i="2" s="1"/>
  <c r="M90" i="2" a="1"/>
  <c r="M90" i="2" s="1"/>
  <c r="M8" i="2" a="1"/>
  <c r="M8" i="2" s="1"/>
  <c r="M73" i="2" a="1"/>
  <c r="M73" i="2" s="1"/>
  <c r="M57" i="2" a="1"/>
  <c r="M57" i="2" s="1"/>
  <c r="M91" i="2" a="1"/>
  <c r="M91" i="2" s="1"/>
  <c r="M60" i="2" a="1"/>
  <c r="M60" i="2" s="1"/>
  <c r="M34" i="2" a="1"/>
  <c r="M34" i="2" s="1"/>
  <c r="M65" i="2" a="1"/>
  <c r="M65" i="2" s="1"/>
  <c r="M16" i="2" a="1"/>
  <c r="M16" i="2" s="1"/>
  <c r="M58" i="2" a="1"/>
  <c r="M58" i="2" s="1"/>
  <c r="M4" i="2" a="1"/>
  <c r="M4" i="2" s="1"/>
  <c r="M72" i="2" a="1"/>
  <c r="M72" i="2" s="1"/>
  <c r="M20" i="2" a="1"/>
  <c r="M20" i="2" s="1"/>
  <c r="M80" i="2" a="1"/>
  <c r="M80" i="2" s="1"/>
  <c r="M17" i="2" a="1"/>
  <c r="M17" i="2" s="1"/>
  <c r="M23" i="2" a="1"/>
  <c r="M23" i="2" s="1"/>
  <c r="M101" i="2" a="1"/>
  <c r="M101" i="2" s="1"/>
  <c r="M43" i="2" a="1"/>
  <c r="M43" i="2" s="1"/>
  <c r="M56" i="2" a="1"/>
  <c r="M56" i="2" s="1"/>
  <c r="M94" i="2" a="1"/>
  <c r="M94" i="2" s="1"/>
  <c r="M71" i="2" a="1"/>
  <c r="M71" i="2" s="1"/>
  <c r="M67" i="2" a="1"/>
  <c r="M67" i="2" s="1"/>
  <c r="M21" i="2" a="1"/>
  <c r="M21" i="2" s="1"/>
  <c r="M45" i="2" a="1"/>
  <c r="M45" i="2" s="1"/>
  <c r="M31" i="2" a="1"/>
  <c r="M31" i="2" s="1"/>
  <c r="M50" i="2" a="1"/>
  <c r="M50" i="2" s="1"/>
  <c r="M69" i="2" a="1"/>
  <c r="M69" i="2" s="1"/>
  <c r="M12" i="2" a="1"/>
  <c r="M12" i="2" s="1"/>
  <c r="M27" i="2" a="1"/>
  <c r="M27" i="2" s="1"/>
  <c r="M24" i="2" a="1"/>
  <c r="M24" i="2" s="1"/>
  <c r="M14" i="2" a="1"/>
  <c r="M14" i="2" s="1"/>
  <c r="Q4" i="2" l="1"/>
  <c r="C14" i="20" a="1"/>
  <c r="C14" i="20" s="1"/>
  <c r="Q23" i="2"/>
  <c r="Q6" i="2"/>
  <c r="S2" i="2"/>
  <c r="Q51" i="2"/>
  <c r="O102" i="2"/>
  <c r="Q50" i="2"/>
  <c r="Q15" i="2"/>
  <c r="Q38" i="2"/>
  <c r="Q94" i="2"/>
  <c r="Q82" i="2"/>
  <c r="Q70" i="2"/>
  <c r="Q58" i="2"/>
  <c r="Q46" i="2"/>
  <c r="Q34" i="2"/>
  <c r="Q22" i="2"/>
  <c r="Q10" i="2"/>
  <c r="Q93" i="2"/>
  <c r="Q81" i="2"/>
  <c r="Q69" i="2"/>
  <c r="Q57" i="2"/>
  <c r="Q45" i="2"/>
  <c r="Q33" i="2"/>
  <c r="Q21" i="2"/>
  <c r="Q9" i="2"/>
  <c r="Q27" i="2"/>
  <c r="Q74" i="2"/>
  <c r="Q92" i="2"/>
  <c r="Q80" i="2"/>
  <c r="Q68" i="2"/>
  <c r="Q56" i="2"/>
  <c r="Q44" i="2"/>
  <c r="Q32" i="2"/>
  <c r="Q20" i="2"/>
  <c r="Q8" i="2"/>
  <c r="Q75" i="2"/>
  <c r="Q62" i="2"/>
  <c r="Q91" i="2"/>
  <c r="Q79" i="2"/>
  <c r="Q67" i="2"/>
  <c r="Q55" i="2"/>
  <c r="Q43" i="2"/>
  <c r="Q31" i="2"/>
  <c r="Q19" i="2"/>
  <c r="Q7" i="2"/>
  <c r="Q98" i="2"/>
  <c r="Q90" i="2"/>
  <c r="Q78" i="2"/>
  <c r="Q66" i="2"/>
  <c r="Q54" i="2"/>
  <c r="Q42" i="2"/>
  <c r="Q30" i="2"/>
  <c r="Q18" i="2"/>
  <c r="Q99" i="2"/>
  <c r="Q14" i="2"/>
  <c r="Q101" i="2"/>
  <c r="Q89" i="2"/>
  <c r="Q77" i="2"/>
  <c r="Q65" i="2"/>
  <c r="Q53" i="2"/>
  <c r="Q41" i="2"/>
  <c r="Q29" i="2"/>
  <c r="Q17" i="2"/>
  <c r="Q100" i="2"/>
  <c r="Q88" i="2"/>
  <c r="Q76" i="2"/>
  <c r="Q64" i="2"/>
  <c r="Q52" i="2"/>
  <c r="Q40" i="2"/>
  <c r="Q28" i="2"/>
  <c r="Q16" i="2"/>
  <c r="Q87" i="2"/>
  <c r="Q86" i="2"/>
  <c r="Q97" i="2"/>
  <c r="Q85" i="2"/>
  <c r="Q73" i="2"/>
  <c r="Q61" i="2"/>
  <c r="Q49" i="2"/>
  <c r="Q37" i="2"/>
  <c r="Q25" i="2"/>
  <c r="Q13" i="2"/>
  <c r="Q63" i="2"/>
  <c r="Q26" i="2"/>
  <c r="Q96" i="2"/>
  <c r="Q84" i="2"/>
  <c r="Q72" i="2"/>
  <c r="Q60" i="2"/>
  <c r="Q48" i="2"/>
  <c r="Q36" i="2"/>
  <c r="Q24" i="2"/>
  <c r="Q12" i="2"/>
  <c r="Q39" i="2"/>
  <c r="Q95" i="2"/>
  <c r="Q83" i="2"/>
  <c r="Q71" i="2"/>
  <c r="Q59" i="2"/>
  <c r="Q47" i="2"/>
  <c r="Q35" i="2"/>
  <c r="Q11" i="2"/>
  <c r="Q5" i="2"/>
  <c r="C28" i="20" a="1"/>
  <c r="C28" i="20" s="1"/>
  <c r="C21" i="20" a="1"/>
  <c r="C21" i="20" s="1"/>
  <c r="C20" i="20" a="1"/>
  <c r="C20" i="20" s="1"/>
  <c r="C26" i="20" a="1"/>
  <c r="C26" i="20" s="1"/>
  <c r="C23" i="20" a="1"/>
  <c r="C23" i="20" s="1"/>
  <c r="C8" i="20" a="1"/>
  <c r="C8" i="20" s="1"/>
  <c r="C6" i="20" a="1"/>
  <c r="C6" i="20" s="1"/>
  <c r="C3" i="20" a="1"/>
  <c r="C3" i="20" s="1"/>
  <c r="C21" i="19" a="1"/>
  <c r="C21" i="19" s="1"/>
  <c r="C19" i="20" a="1"/>
  <c r="C19" i="20" s="1"/>
  <c r="C20" i="19" a="1"/>
  <c r="C20" i="19" s="1"/>
  <c r="C12" i="20" a="1"/>
  <c r="C12" i="20" s="1"/>
  <c r="C25" i="19" a="1"/>
  <c r="C25" i="19" s="1"/>
  <c r="C31" i="20" a="1"/>
  <c r="C31" i="20" s="1"/>
  <c r="C11" i="20" a="1"/>
  <c r="C11" i="20" s="1"/>
  <c r="C7" i="19" a="1"/>
  <c r="C7" i="19" s="1"/>
  <c r="C30" i="20" a="1"/>
  <c r="C30" i="20" s="1"/>
  <c r="C10" i="20" a="1"/>
  <c r="C10" i="20" s="1"/>
  <c r="C29" i="20" a="1"/>
  <c r="C29" i="20" s="1"/>
  <c r="C9" i="20" a="1"/>
  <c r="C9" i="20" s="1"/>
  <c r="C6" i="19" a="1"/>
  <c r="C6" i="19" s="1"/>
  <c r="C30" i="19" a="1"/>
  <c r="C30" i="19" s="1"/>
  <c r="C19" i="19" a="1"/>
  <c r="C19" i="19" s="1"/>
  <c r="C5" i="19" a="1"/>
  <c r="C5" i="19" s="1"/>
  <c r="C25" i="20" a="1"/>
  <c r="C25" i="20" s="1"/>
  <c r="C16" i="20" a="1"/>
  <c r="C16" i="20" s="1"/>
  <c r="C29" i="19" a="1"/>
  <c r="C29" i="19" s="1"/>
  <c r="C18" i="19" a="1"/>
  <c r="C18" i="19" s="1"/>
  <c r="C3" i="19" a="1"/>
  <c r="C3" i="19" s="1"/>
  <c r="C24" i="20" a="1"/>
  <c r="C24" i="20" s="1"/>
  <c r="C15" i="20" a="1"/>
  <c r="C15" i="20" s="1"/>
  <c r="C7" i="20" a="1"/>
  <c r="C7" i="20" s="1"/>
  <c r="A2" i="19"/>
  <c r="C8" i="19" a="1"/>
  <c r="C8" i="19" s="1"/>
  <c r="C15" i="19" a="1"/>
  <c r="C15" i="19" s="1"/>
  <c r="C16" i="19" a="1"/>
  <c r="C16" i="19" s="1"/>
  <c r="C23" i="19" a="1"/>
  <c r="C23" i="19" s="1"/>
  <c r="C31" i="19" a="1"/>
  <c r="C31" i="19" s="1"/>
  <c r="C9" i="19" a="1"/>
  <c r="C9" i="19" s="1"/>
  <c r="C24" i="19" a="1"/>
  <c r="C24" i="19" s="1"/>
  <c r="C32" i="19" a="1"/>
  <c r="C32" i="19" s="1"/>
  <c r="C10" i="19" a="1"/>
  <c r="C10" i="19" s="1"/>
  <c r="C17" i="19" a="1"/>
  <c r="C17" i="19" s="1"/>
  <c r="C33" i="19" a="1"/>
  <c r="C33" i="19" s="1"/>
  <c r="C4" i="19" a="1"/>
  <c r="C4" i="19" s="1"/>
  <c r="C11" i="19" a="1"/>
  <c r="C11" i="19" s="1"/>
  <c r="C12" i="19" a="1"/>
  <c r="C12" i="19" s="1"/>
  <c r="C28" i="19" a="1"/>
  <c r="C28" i="19" s="1"/>
  <c r="A2" i="20"/>
  <c r="C4" i="20" a="1"/>
  <c r="C4" i="20" s="1"/>
  <c r="C17" i="20" a="1"/>
  <c r="C17" i="20" s="1"/>
  <c r="C32" i="20" a="1"/>
  <c r="C32" i="20" s="1"/>
  <c r="C5" i="20" a="1"/>
  <c r="C5" i="20" s="1"/>
  <c r="C18" i="20" a="1"/>
  <c r="C18" i="20" s="1"/>
  <c r="C13" i="20" a="1"/>
  <c r="C13" i="20" s="1"/>
  <c r="C27" i="20" a="1"/>
  <c r="C27" i="20" s="1"/>
  <c r="C27" i="19" a="1"/>
  <c r="C27" i="19" s="1"/>
  <c r="C33" i="20" a="1"/>
  <c r="C33" i="20" s="1"/>
  <c r="C22" i="20" a="1"/>
  <c r="C22" i="20" s="1"/>
  <c r="C26" i="19" a="1"/>
  <c r="C26" i="19" s="1"/>
  <c r="C13" i="19" a="1"/>
  <c r="C13" i="19" s="1"/>
  <c r="C22" i="19" a="1"/>
  <c r="C22" i="19" s="1"/>
  <c r="B15" i="20"/>
  <c r="B28" i="20"/>
  <c r="B4" i="20"/>
  <c r="B32" i="20"/>
  <c r="B31" i="20"/>
  <c r="B30" i="20"/>
  <c r="B5" i="20"/>
  <c r="B27" i="20"/>
  <c r="B3" i="20"/>
  <c r="B17" i="20"/>
  <c r="B16" i="20"/>
  <c r="B7" i="20"/>
  <c r="B6" i="20"/>
  <c r="B29" i="20"/>
  <c r="B20" i="20"/>
  <c r="B8" i="20"/>
  <c r="B19" i="20"/>
  <c r="B18" i="20"/>
  <c r="B26" i="20"/>
  <c r="B14" i="20"/>
  <c r="D14" i="20" s="1"/>
  <c r="B24" i="20"/>
  <c r="B12" i="20"/>
  <c r="B23" i="20"/>
  <c r="B11" i="20"/>
  <c r="B13" i="20"/>
  <c r="B22" i="20"/>
  <c r="B10" i="20"/>
  <c r="B25" i="20"/>
  <c r="B33" i="20"/>
  <c r="B21" i="20"/>
  <c r="B9" i="20"/>
  <c r="B25" i="19"/>
  <c r="B13" i="19"/>
  <c r="B22" i="19"/>
  <c r="B33" i="19"/>
  <c r="B21" i="19"/>
  <c r="B9" i="19"/>
  <c r="B32" i="19"/>
  <c r="B20" i="19"/>
  <c r="B8" i="19"/>
  <c r="B10" i="19"/>
  <c r="B31" i="19"/>
  <c r="B19" i="19"/>
  <c r="B7" i="19"/>
  <c r="B24" i="19"/>
  <c r="B12" i="19"/>
  <c r="B18" i="19"/>
  <c r="B5" i="19"/>
  <c r="B28" i="19"/>
  <c r="B16" i="19"/>
  <c r="B4" i="19"/>
  <c r="B23" i="19"/>
  <c r="B11" i="19"/>
  <c r="B30" i="19"/>
  <c r="B6" i="19"/>
  <c r="B29" i="19"/>
  <c r="B17" i="19"/>
  <c r="B27" i="19"/>
  <c r="B15" i="19"/>
  <c r="B3" i="19"/>
  <c r="B26" i="19"/>
  <c r="B14" i="19"/>
  <c r="B2" i="20" l="1"/>
  <c r="N15" i="2" a="1"/>
  <c r="N15" i="2" s="1"/>
  <c r="D31" i="20"/>
  <c r="D26" i="20"/>
  <c r="D21" i="20"/>
  <c r="S4" i="2"/>
  <c r="D11" i="20"/>
  <c r="D20" i="20"/>
  <c r="S3" i="2"/>
  <c r="D28" i="20"/>
  <c r="B2" i="19"/>
  <c r="P3" i="2" a="1"/>
  <c r="P3" i="2" s="1"/>
  <c r="T3" i="2" s="1"/>
  <c r="P15" i="2" a="1"/>
  <c r="P15" i="2" s="1"/>
  <c r="T15" i="2" s="1"/>
  <c r="P27" i="2" a="1"/>
  <c r="P27" i="2" s="1"/>
  <c r="T27" i="2" s="1"/>
  <c r="P39" i="2" a="1"/>
  <c r="P39" i="2" s="1"/>
  <c r="T39" i="2" s="1"/>
  <c r="P51" i="2" a="1"/>
  <c r="P51" i="2" s="1"/>
  <c r="T51" i="2" s="1"/>
  <c r="P63" i="2" a="1"/>
  <c r="P63" i="2" s="1"/>
  <c r="T63" i="2" s="1"/>
  <c r="P75" i="2" a="1"/>
  <c r="P75" i="2" s="1"/>
  <c r="T75" i="2" s="1"/>
  <c r="P87" i="2" a="1"/>
  <c r="P87" i="2" s="1"/>
  <c r="T87" i="2" s="1"/>
  <c r="P99" i="2" a="1"/>
  <c r="P99" i="2" s="1"/>
  <c r="T99" i="2" s="1"/>
  <c r="P42" i="2" a="1"/>
  <c r="P42" i="2" s="1"/>
  <c r="T42" i="2" s="1"/>
  <c r="P4" i="2" a="1"/>
  <c r="P4" i="2" s="1"/>
  <c r="T4" i="2" s="1"/>
  <c r="P16" i="2" a="1"/>
  <c r="P16" i="2" s="1"/>
  <c r="T16" i="2" s="1"/>
  <c r="P28" i="2" a="1"/>
  <c r="P28" i="2" s="1"/>
  <c r="T28" i="2" s="1"/>
  <c r="P40" i="2" a="1"/>
  <c r="P40" i="2" s="1"/>
  <c r="T40" i="2" s="1"/>
  <c r="P52" i="2" a="1"/>
  <c r="P52" i="2" s="1"/>
  <c r="T52" i="2" s="1"/>
  <c r="P64" i="2" a="1"/>
  <c r="P64" i="2" s="1"/>
  <c r="T64" i="2" s="1"/>
  <c r="P76" i="2" a="1"/>
  <c r="P76" i="2" s="1"/>
  <c r="T76" i="2" s="1"/>
  <c r="P88" i="2" a="1"/>
  <c r="P88" i="2" s="1"/>
  <c r="T88" i="2" s="1"/>
  <c r="P100" i="2" a="1"/>
  <c r="P100" i="2" s="1"/>
  <c r="P30" i="2" a="1"/>
  <c r="P30" i="2" s="1"/>
  <c r="T30" i="2" s="1"/>
  <c r="P66" i="2" a="1"/>
  <c r="P66" i="2" s="1"/>
  <c r="T66" i="2" s="1"/>
  <c r="P67" i="2" a="1"/>
  <c r="P67" i="2" s="1"/>
  <c r="T67" i="2" s="1"/>
  <c r="P5" i="2" a="1"/>
  <c r="P5" i="2" s="1"/>
  <c r="P17" i="2" a="1"/>
  <c r="P17" i="2" s="1"/>
  <c r="P29" i="2" a="1"/>
  <c r="P29" i="2" s="1"/>
  <c r="T29" i="2" s="1"/>
  <c r="P41" i="2" a="1"/>
  <c r="P41" i="2" s="1"/>
  <c r="T41" i="2" s="1"/>
  <c r="P53" i="2" a="1"/>
  <c r="P53" i="2" s="1"/>
  <c r="T53" i="2" s="1"/>
  <c r="P65" i="2" a="1"/>
  <c r="P65" i="2" s="1"/>
  <c r="T65" i="2" s="1"/>
  <c r="P77" i="2" a="1"/>
  <c r="P77" i="2" s="1"/>
  <c r="T77" i="2" s="1"/>
  <c r="P89" i="2" a="1"/>
  <c r="P89" i="2" s="1"/>
  <c r="T89" i="2" s="1"/>
  <c r="P101" i="2" a="1"/>
  <c r="P101" i="2" s="1"/>
  <c r="T101" i="2" s="1"/>
  <c r="P18" i="2" a="1"/>
  <c r="P18" i="2" s="1"/>
  <c r="T18" i="2" s="1"/>
  <c r="P78" i="2" a="1"/>
  <c r="P78" i="2" s="1"/>
  <c r="T78" i="2" s="1"/>
  <c r="P6" i="2" a="1"/>
  <c r="P6" i="2" s="1"/>
  <c r="T6" i="2" s="1"/>
  <c r="P7" i="2" a="1"/>
  <c r="P7" i="2" s="1"/>
  <c r="T7" i="2" s="1"/>
  <c r="P19" i="2" a="1"/>
  <c r="P19" i="2" s="1"/>
  <c r="T19" i="2" s="1"/>
  <c r="P31" i="2" a="1"/>
  <c r="P31" i="2" s="1"/>
  <c r="T31" i="2" s="1"/>
  <c r="P55" i="2" a="1"/>
  <c r="P55" i="2" s="1"/>
  <c r="T55" i="2" s="1"/>
  <c r="P79" i="2" a="1"/>
  <c r="P79" i="2" s="1"/>
  <c r="T79" i="2" s="1"/>
  <c r="P8" i="2" a="1"/>
  <c r="P8" i="2" s="1"/>
  <c r="T8" i="2" s="1"/>
  <c r="P20" i="2" a="1"/>
  <c r="P20" i="2" s="1"/>
  <c r="T20" i="2" s="1"/>
  <c r="P32" i="2" a="1"/>
  <c r="P32" i="2" s="1"/>
  <c r="T32" i="2" s="1"/>
  <c r="P44" i="2" a="1"/>
  <c r="P44" i="2" s="1"/>
  <c r="T44" i="2" s="1"/>
  <c r="P56" i="2" a="1"/>
  <c r="P56" i="2" s="1"/>
  <c r="T56" i="2" s="1"/>
  <c r="P68" i="2" a="1"/>
  <c r="P68" i="2" s="1"/>
  <c r="T68" i="2" s="1"/>
  <c r="P80" i="2" a="1"/>
  <c r="P80" i="2" s="1"/>
  <c r="T80" i="2" s="1"/>
  <c r="P92" i="2" a="1"/>
  <c r="P92" i="2" s="1"/>
  <c r="T92" i="2" s="1"/>
  <c r="P9" i="2" a="1"/>
  <c r="P9" i="2" s="1"/>
  <c r="T9" i="2" s="1"/>
  <c r="P21" i="2" a="1"/>
  <c r="P21" i="2" s="1"/>
  <c r="T21" i="2" s="1"/>
  <c r="P33" i="2" a="1"/>
  <c r="P33" i="2" s="1"/>
  <c r="T33" i="2" s="1"/>
  <c r="P45" i="2" a="1"/>
  <c r="P45" i="2" s="1"/>
  <c r="T45" i="2" s="1"/>
  <c r="P57" i="2" a="1"/>
  <c r="P57" i="2" s="1"/>
  <c r="T57" i="2" s="1"/>
  <c r="P69" i="2" a="1"/>
  <c r="P69" i="2" s="1"/>
  <c r="T69" i="2" s="1"/>
  <c r="P81" i="2" a="1"/>
  <c r="P81" i="2" s="1"/>
  <c r="T81" i="2" s="1"/>
  <c r="P93" i="2" a="1"/>
  <c r="P93" i="2" s="1"/>
  <c r="T93" i="2" s="1"/>
  <c r="P90" i="2" a="1"/>
  <c r="P90" i="2" s="1"/>
  <c r="T90" i="2" s="1"/>
  <c r="P10" i="2" a="1"/>
  <c r="P10" i="2" s="1"/>
  <c r="T10" i="2" s="1"/>
  <c r="P22" i="2" a="1"/>
  <c r="P22" i="2" s="1"/>
  <c r="T22" i="2" s="1"/>
  <c r="P34" i="2" a="1"/>
  <c r="P34" i="2" s="1"/>
  <c r="T34" i="2" s="1"/>
  <c r="P46" i="2" a="1"/>
  <c r="P46" i="2" s="1"/>
  <c r="T46" i="2" s="1"/>
  <c r="P58" i="2" a="1"/>
  <c r="P58" i="2" s="1"/>
  <c r="T58" i="2" s="1"/>
  <c r="P70" i="2" a="1"/>
  <c r="P70" i="2" s="1"/>
  <c r="T70" i="2" s="1"/>
  <c r="P82" i="2" a="1"/>
  <c r="P82" i="2" s="1"/>
  <c r="T82" i="2" s="1"/>
  <c r="P94" i="2" a="1"/>
  <c r="P94" i="2" s="1"/>
  <c r="T94" i="2" s="1"/>
  <c r="P11" i="2" a="1"/>
  <c r="P11" i="2" s="1"/>
  <c r="T11" i="2" s="1"/>
  <c r="P23" i="2" a="1"/>
  <c r="P23" i="2" s="1"/>
  <c r="T23" i="2" s="1"/>
  <c r="P35" i="2" a="1"/>
  <c r="P35" i="2" s="1"/>
  <c r="T35" i="2" s="1"/>
  <c r="P47" i="2" a="1"/>
  <c r="P47" i="2" s="1"/>
  <c r="T47" i="2" s="1"/>
  <c r="P59" i="2" a="1"/>
  <c r="P59" i="2" s="1"/>
  <c r="T59" i="2" s="1"/>
  <c r="P71" i="2" a="1"/>
  <c r="P71" i="2" s="1"/>
  <c r="T71" i="2" s="1"/>
  <c r="P83" i="2" a="1"/>
  <c r="P83" i="2" s="1"/>
  <c r="T83" i="2" s="1"/>
  <c r="P95" i="2" a="1"/>
  <c r="P95" i="2" s="1"/>
  <c r="T95" i="2" s="1"/>
  <c r="P54" i="2" a="1"/>
  <c r="P54" i="2" s="1"/>
  <c r="T54" i="2" s="1"/>
  <c r="P12" i="2" a="1"/>
  <c r="P12" i="2" s="1"/>
  <c r="T12" i="2" s="1"/>
  <c r="P24" i="2" a="1"/>
  <c r="P24" i="2" s="1"/>
  <c r="T24" i="2" s="1"/>
  <c r="P36" i="2" a="1"/>
  <c r="P36" i="2" s="1"/>
  <c r="T36" i="2" s="1"/>
  <c r="P48" i="2" a="1"/>
  <c r="P48" i="2" s="1"/>
  <c r="T48" i="2" s="1"/>
  <c r="P60" i="2" a="1"/>
  <c r="P60" i="2" s="1"/>
  <c r="T60" i="2" s="1"/>
  <c r="P72" i="2" a="1"/>
  <c r="P72" i="2" s="1"/>
  <c r="T72" i="2" s="1"/>
  <c r="P84" i="2" a="1"/>
  <c r="P84" i="2" s="1"/>
  <c r="T84" i="2" s="1"/>
  <c r="P96" i="2" a="1"/>
  <c r="P96" i="2" s="1"/>
  <c r="T96" i="2" s="1"/>
  <c r="P13" i="2" a="1"/>
  <c r="P13" i="2" s="1"/>
  <c r="T13" i="2" s="1"/>
  <c r="P25" i="2" a="1"/>
  <c r="P25" i="2" s="1"/>
  <c r="T25" i="2" s="1"/>
  <c r="P37" i="2" a="1"/>
  <c r="P37" i="2" s="1"/>
  <c r="T37" i="2" s="1"/>
  <c r="P49" i="2" a="1"/>
  <c r="P49" i="2" s="1"/>
  <c r="T49" i="2" s="1"/>
  <c r="P61" i="2" a="1"/>
  <c r="P61" i="2" s="1"/>
  <c r="T61" i="2" s="1"/>
  <c r="P73" i="2" a="1"/>
  <c r="P73" i="2" s="1"/>
  <c r="T73" i="2" s="1"/>
  <c r="P85" i="2" a="1"/>
  <c r="P85" i="2" s="1"/>
  <c r="T85" i="2" s="1"/>
  <c r="P97" i="2" a="1"/>
  <c r="P97" i="2" s="1"/>
  <c r="T97" i="2" s="1"/>
  <c r="P43" i="2" a="1"/>
  <c r="P43" i="2" s="1"/>
  <c r="T43" i="2" s="1"/>
  <c r="P14" i="2" a="1"/>
  <c r="P14" i="2" s="1"/>
  <c r="T14" i="2" s="1"/>
  <c r="P26" i="2" a="1"/>
  <c r="P26" i="2" s="1"/>
  <c r="T26" i="2" s="1"/>
  <c r="P38" i="2" a="1"/>
  <c r="P38" i="2" s="1"/>
  <c r="T38" i="2" s="1"/>
  <c r="P50" i="2" a="1"/>
  <c r="P50" i="2" s="1"/>
  <c r="T50" i="2" s="1"/>
  <c r="P62" i="2" a="1"/>
  <c r="P62" i="2" s="1"/>
  <c r="T62" i="2" s="1"/>
  <c r="P74" i="2" a="1"/>
  <c r="P74" i="2" s="1"/>
  <c r="P86" i="2" a="1"/>
  <c r="P86" i="2" s="1"/>
  <c r="T86" i="2" s="1"/>
  <c r="P98" i="2" a="1"/>
  <c r="P98" i="2" s="1"/>
  <c r="T98" i="2" s="1"/>
  <c r="P91" i="2" a="1"/>
  <c r="P91" i="2" s="1"/>
  <c r="T91" i="2" s="1"/>
  <c r="D22" i="20"/>
  <c r="D12" i="20"/>
  <c r="D8" i="20"/>
  <c r="D17" i="20"/>
  <c r="D9" i="20"/>
  <c r="D23" i="20"/>
  <c r="D4" i="20"/>
  <c r="D25" i="20"/>
  <c r="D19" i="20"/>
  <c r="D18" i="20"/>
  <c r="D6" i="20"/>
  <c r="D3" i="20"/>
  <c r="D30" i="20"/>
  <c r="D7" i="20"/>
  <c r="D24" i="20"/>
  <c r="D29" i="20"/>
  <c r="D5" i="20"/>
  <c r="D27" i="20"/>
  <c r="D10" i="20"/>
  <c r="D32" i="20"/>
  <c r="N34" i="2" a="1"/>
  <c r="N34" i="2" s="1"/>
  <c r="N70" i="2" a="1"/>
  <c r="N70" i="2" s="1"/>
  <c r="N85" i="2" a="1"/>
  <c r="N85" i="2" s="1"/>
  <c r="N93" i="2" a="1"/>
  <c r="N93" i="2" s="1"/>
  <c r="N28" i="2" a="1"/>
  <c r="N28" i="2" s="1"/>
  <c r="N64" i="2" a="1"/>
  <c r="N64" i="2" s="1"/>
  <c r="N86" i="2" a="1"/>
  <c r="N86" i="2" s="1"/>
  <c r="N95" i="2" a="1"/>
  <c r="N95" i="2" s="1"/>
  <c r="C2" i="20" a="1"/>
  <c r="C2" i="20" s="1"/>
  <c r="D2" i="20" s="1"/>
  <c r="N7" i="2" a="1"/>
  <c r="N7" i="2" s="1"/>
  <c r="N14" i="2" a="1"/>
  <c r="N14" i="2" s="1"/>
  <c r="N21" i="2" a="1"/>
  <c r="N21" i="2" s="1"/>
  <c r="N29" i="2" a="1"/>
  <c r="N29" i="2" s="1"/>
  <c r="N36" i="2" a="1"/>
  <c r="N36" i="2" s="1"/>
  <c r="N43" i="2" a="1"/>
  <c r="N43" i="2" s="1"/>
  <c r="N50" i="2" a="1"/>
  <c r="N50" i="2" s="1"/>
  <c r="N57" i="2" a="1"/>
  <c r="N57" i="2" s="1"/>
  <c r="N65" i="2" a="1"/>
  <c r="N65" i="2" s="1"/>
  <c r="N72" i="2" a="1"/>
  <c r="N72" i="2" s="1"/>
  <c r="N79" i="2" a="1"/>
  <c r="N79" i="2" s="1"/>
  <c r="N8" i="2" a="1"/>
  <c r="N8" i="2" s="1"/>
  <c r="N23" i="2" a="1"/>
  <c r="N23" i="2" s="1"/>
  <c r="N30" i="2" a="1"/>
  <c r="N30" i="2" s="1"/>
  <c r="N37" i="2" a="1"/>
  <c r="N37" i="2" s="1"/>
  <c r="N44" i="2" a="1"/>
  <c r="N44" i="2" s="1"/>
  <c r="N51" i="2" a="1"/>
  <c r="N51" i="2" s="1"/>
  <c r="N59" i="2" a="1"/>
  <c r="N59" i="2" s="1"/>
  <c r="N66" i="2" a="1"/>
  <c r="N66" i="2" s="1"/>
  <c r="N73" i="2" a="1"/>
  <c r="N73" i="2" s="1"/>
  <c r="N80" i="2" a="1"/>
  <c r="N80" i="2" s="1"/>
  <c r="N88" i="2" a="1"/>
  <c r="N88" i="2" s="1"/>
  <c r="N97" i="2" a="1"/>
  <c r="N97" i="2" s="1"/>
  <c r="N76" i="2" a="1"/>
  <c r="N76" i="2" s="1"/>
  <c r="N89" i="2" a="1"/>
  <c r="N89" i="2" s="1"/>
  <c r="N12" i="2" a="1"/>
  <c r="N12" i="2" s="1"/>
  <c r="N24" i="2" a="1"/>
  <c r="N24" i="2" s="1"/>
  <c r="N33" i="2" a="1"/>
  <c r="N33" i="2" s="1"/>
  <c r="N45" i="2" a="1"/>
  <c r="N45" i="2" s="1"/>
  <c r="N55" i="2" a="1"/>
  <c r="N55" i="2" s="1"/>
  <c r="N67" i="2" a="1"/>
  <c r="N67" i="2" s="1"/>
  <c r="N77" i="2" a="1"/>
  <c r="N77" i="2" s="1"/>
  <c r="N13" i="2" a="1"/>
  <c r="N13" i="2" s="1"/>
  <c r="N35" i="2" a="1"/>
  <c r="N35" i="2" s="1"/>
  <c r="N46" i="2" a="1"/>
  <c r="N46" i="2" s="1"/>
  <c r="N56" i="2" a="1"/>
  <c r="N56" i="2" s="1"/>
  <c r="N78" i="2" a="1"/>
  <c r="N78" i="2" s="1"/>
  <c r="N90" i="2" a="1"/>
  <c r="N90" i="2" s="1"/>
  <c r="N3" i="2" a="1"/>
  <c r="N3" i="2" s="1"/>
  <c r="N25" i="2" a="1"/>
  <c r="N25" i="2" s="1"/>
  <c r="N47" i="2" a="1"/>
  <c r="N47" i="2" s="1"/>
  <c r="N58" i="2" a="1"/>
  <c r="N58" i="2" s="1"/>
  <c r="N92" i="2" a="1"/>
  <c r="N92" i="2" s="1"/>
  <c r="N40" i="2" a="1"/>
  <c r="N40" i="2" s="1"/>
  <c r="N98" i="2" a="1"/>
  <c r="N98" i="2" s="1"/>
  <c r="N9" i="2" a="1"/>
  <c r="N9" i="2" s="1"/>
  <c r="N31" i="2" a="1"/>
  <c r="N31" i="2" s="1"/>
  <c r="N62" i="2" a="1"/>
  <c r="N62" i="2" s="1"/>
  <c r="N84" i="2" a="1"/>
  <c r="N84" i="2" s="1"/>
  <c r="N10" i="2" a="1"/>
  <c r="N10" i="2" s="1"/>
  <c r="N42" i="2" a="1"/>
  <c r="N42" i="2" s="1"/>
  <c r="N68" i="2" a="1"/>
  <c r="N68" i="2" s="1"/>
  <c r="N91" i="2" a="1"/>
  <c r="N91" i="2" s="1"/>
  <c r="N4" i="2" a="1"/>
  <c r="N4" i="2" s="1"/>
  <c r="N16" i="2" a="1"/>
  <c r="N16" i="2" s="1"/>
  <c r="N52" i="2" a="1"/>
  <c r="N52" i="2" s="1"/>
  <c r="N19" i="2" a="1"/>
  <c r="N19" i="2" s="1"/>
  <c r="N41" i="2" a="1"/>
  <c r="N41" i="2" s="1"/>
  <c r="N53" i="2" a="1"/>
  <c r="N53" i="2" s="1"/>
  <c r="N74" i="2" a="1"/>
  <c r="N74" i="2" s="1"/>
  <c r="N99" i="2" a="1"/>
  <c r="N99" i="2" s="1"/>
  <c r="N20" i="2" a="1"/>
  <c r="N20" i="2" s="1"/>
  <c r="N63" i="2" a="1"/>
  <c r="N63" i="2" s="1"/>
  <c r="N100" i="2" a="1"/>
  <c r="N100" i="2" s="1"/>
  <c r="N5" i="2" a="1"/>
  <c r="N5" i="2" s="1"/>
  <c r="N17" i="2" a="1"/>
  <c r="N17" i="2" s="1"/>
  <c r="N26" i="2" a="1"/>
  <c r="N26" i="2" s="1"/>
  <c r="N38" i="2" a="1"/>
  <c r="N38" i="2" s="1"/>
  <c r="N48" i="2" a="1"/>
  <c r="N48" i="2" s="1"/>
  <c r="N60" i="2" a="1"/>
  <c r="N60" i="2" s="1"/>
  <c r="N69" i="2" a="1"/>
  <c r="N69" i="2" s="1"/>
  <c r="N81" i="2" a="1"/>
  <c r="N81" i="2" s="1"/>
  <c r="N6" i="2" a="1"/>
  <c r="N6" i="2" s="1"/>
  <c r="N27" i="2" a="1"/>
  <c r="N27" i="2" s="1"/>
  <c r="N49" i="2" a="1"/>
  <c r="N49" i="2" s="1"/>
  <c r="N71" i="2" a="1"/>
  <c r="N71" i="2" s="1"/>
  <c r="N82" i="2" a="1"/>
  <c r="N82" i="2" s="1"/>
  <c r="N94" i="2" a="1"/>
  <c r="N94" i="2" s="1"/>
  <c r="N18" i="2" a="1"/>
  <c r="N18" i="2" s="1"/>
  <c r="N39" i="2" a="1"/>
  <c r="N39" i="2" s="1"/>
  <c r="N61" i="2" a="1"/>
  <c r="N61" i="2" s="1"/>
  <c r="N83" i="2" a="1"/>
  <c r="N83" i="2" s="1"/>
  <c r="N96" i="2" a="1"/>
  <c r="N96" i="2" s="1"/>
  <c r="N54" i="2" a="1"/>
  <c r="N54" i="2" s="1"/>
  <c r="N75" i="2" a="1"/>
  <c r="N75" i="2" s="1"/>
  <c r="N87" i="2" a="1"/>
  <c r="N87" i="2" s="1"/>
  <c r="N101" i="2" a="1"/>
  <c r="N101" i="2" s="1"/>
  <c r="N11" i="2" a="1"/>
  <c r="N11" i="2" s="1"/>
  <c r="N22" i="2" a="1"/>
  <c r="N22" i="2" s="1"/>
  <c r="N32" i="2" a="1"/>
  <c r="N32" i="2" s="1"/>
  <c r="D16" i="20"/>
  <c r="D15" i="20"/>
  <c r="D33" i="20"/>
  <c r="C2" i="19" a="1"/>
  <c r="C2" i="19" s="1"/>
  <c r="D13" i="20"/>
  <c r="D31" i="19"/>
  <c r="D19" i="19"/>
  <c r="D3" i="19"/>
  <c r="D14" i="19"/>
  <c r="D28" i="19"/>
  <c r="D32" i="19"/>
  <c r="D25" i="19"/>
  <c r="D22" i="19"/>
  <c r="D4" i="19"/>
  <c r="D9" i="19"/>
  <c r="D12" i="19"/>
  <c r="D18" i="19"/>
  <c r="D33" i="19"/>
  <c r="D26" i="19"/>
  <c r="D5" i="19"/>
  <c r="D15" i="19"/>
  <c r="D27" i="19"/>
  <c r="D7" i="19"/>
  <c r="D23" i="19"/>
  <c r="D10" i="19"/>
  <c r="D30" i="19"/>
  <c r="D8" i="19"/>
  <c r="D17" i="19"/>
  <c r="D20" i="19"/>
  <c r="D29" i="19"/>
  <c r="D13" i="19"/>
  <c r="D24" i="19"/>
  <c r="D6" i="19"/>
  <c r="D16" i="19"/>
  <c r="D21" i="19"/>
  <c r="D11" i="19"/>
  <c r="T5" i="2" l="1"/>
  <c r="S99" i="2"/>
  <c r="S101" i="2"/>
  <c r="S78" i="2"/>
  <c r="S55" i="2"/>
  <c r="S34" i="2"/>
  <c r="S95" i="2"/>
  <c r="S69" i="2"/>
  <c r="S83" i="2"/>
  <c r="S25" i="2"/>
  <c r="S98" i="2"/>
  <c r="S12" i="2"/>
  <c r="S27" i="2"/>
  <c r="S18" i="2"/>
  <c r="S21" i="2"/>
  <c r="S97" i="2"/>
  <c r="S80" i="2"/>
  <c r="S54" i="2"/>
  <c r="S29" i="2"/>
  <c r="S30" i="2"/>
  <c r="S89" i="2"/>
  <c r="S67" i="2"/>
  <c r="S60" i="2"/>
  <c r="S65" i="2"/>
  <c r="S91" i="2"/>
  <c r="T74" i="2"/>
  <c r="S74" i="2"/>
  <c r="T17" i="2"/>
  <c r="S17" i="2"/>
  <c r="S11" i="2"/>
  <c r="S5" i="2"/>
  <c r="S72" i="2"/>
  <c r="S85" i="2"/>
  <c r="S96" i="2"/>
  <c r="S94" i="2"/>
  <c r="S8" i="2"/>
  <c r="S38" i="2"/>
  <c r="S16" i="2"/>
  <c r="S71" i="2"/>
  <c r="S68" i="2"/>
  <c r="S66" i="2"/>
  <c r="S32" i="2"/>
  <c r="S93" i="2"/>
  <c r="S31" i="2"/>
  <c r="S14" i="2"/>
  <c r="S10" i="2"/>
  <c r="S87" i="2"/>
  <c r="S47" i="2"/>
  <c r="S50" i="2"/>
  <c r="S19" i="2"/>
  <c r="S73" i="2"/>
  <c r="S61" i="2"/>
  <c r="S82" i="2"/>
  <c r="S41" i="2"/>
  <c r="S88" i="2"/>
  <c r="S36" i="2"/>
  <c r="S46" i="2"/>
  <c r="S22" i="2"/>
  <c r="S40" i="2"/>
  <c r="S79" i="2"/>
  <c r="S51" i="2"/>
  <c r="S53" i="2"/>
  <c r="S57" i="2"/>
  <c r="S9" i="2"/>
  <c r="S56" i="2"/>
  <c r="S43" i="2"/>
  <c r="S35" i="2"/>
  <c r="S63" i="2"/>
  <c r="S23" i="2"/>
  <c r="S15" i="2"/>
  <c r="S39" i="2"/>
  <c r="S48" i="2"/>
  <c r="S58" i="2"/>
  <c r="S49" i="2"/>
  <c r="S77" i="2"/>
  <c r="S86" i="2"/>
  <c r="S75" i="2"/>
  <c r="S13" i="2"/>
  <c r="S84" i="2"/>
  <c r="S92" i="2"/>
  <c r="S28" i="2"/>
  <c r="S26" i="2"/>
  <c r="S45" i="2"/>
  <c r="T100" i="2"/>
  <c r="S100" i="2"/>
  <c r="S59" i="2"/>
  <c r="S42" i="2"/>
  <c r="S37" i="2"/>
  <c r="S44" i="2"/>
  <c r="S62" i="2"/>
  <c r="S76" i="2"/>
  <c r="S64" i="2"/>
  <c r="S90" i="2"/>
  <c r="S24" i="2"/>
  <c r="S7" i="2"/>
  <c r="S70" i="2"/>
  <c r="S6" i="2"/>
  <c r="S52" i="2"/>
  <c r="S33" i="2"/>
  <c r="S81" i="2"/>
  <c r="S20" i="2"/>
  <c r="P2" i="2" a="1"/>
  <c r="P2" i="2" s="1"/>
  <c r="T2" i="2" s="1"/>
  <c r="E2" i="19"/>
  <c r="N2" i="2" a="1"/>
  <c r="N2" i="2" s="1"/>
  <c r="E2" i="20"/>
  <c r="D34" i="20"/>
  <c r="E25" i="20" s="1"/>
  <c r="F25" i="20" l="1"/>
  <c r="H25" i="20" s="1"/>
  <c r="G25" i="20"/>
  <c r="F2" i="20"/>
  <c r="H2" i="20" s="1"/>
  <c r="G2" i="20"/>
  <c r="F2" i="19"/>
  <c r="H2" i="19" s="1"/>
  <c r="G2" i="19"/>
  <c r="U2" i="2" s="1"/>
  <c r="D34" i="19"/>
  <c r="E21" i="19" s="1"/>
  <c r="E18" i="20"/>
  <c r="E27" i="20"/>
  <c r="E14" i="20"/>
  <c r="E31" i="20"/>
  <c r="E19" i="20"/>
  <c r="E23" i="20"/>
  <c r="E12" i="20"/>
  <c r="E26" i="20"/>
  <c r="E10" i="20"/>
  <c r="E9" i="20"/>
  <c r="E16" i="20"/>
  <c r="E13" i="20"/>
  <c r="E17" i="20"/>
  <c r="E11" i="20"/>
  <c r="E5" i="20"/>
  <c r="E15" i="20"/>
  <c r="E21" i="20"/>
  <c r="E33" i="20"/>
  <c r="E8" i="20"/>
  <c r="E29" i="20"/>
  <c r="E22" i="20"/>
  <c r="E7" i="20"/>
  <c r="E3" i="20"/>
  <c r="E30" i="20"/>
  <c r="E32" i="20"/>
  <c r="E24" i="20"/>
  <c r="E6" i="20"/>
  <c r="E4" i="20"/>
  <c r="E28" i="20"/>
  <c r="E20" i="20"/>
  <c r="E15" i="19" l="1"/>
  <c r="N102" i="2" a="1"/>
  <c r="N102" i="2" s="1"/>
  <c r="E30" i="19"/>
  <c r="F30" i="19" s="1"/>
  <c r="H30" i="19" s="1"/>
  <c r="E32" i="19"/>
  <c r="F32" i="19" s="1"/>
  <c r="H32" i="19" s="1"/>
  <c r="E24" i="19"/>
  <c r="G24" i="19" s="1"/>
  <c r="E31" i="19"/>
  <c r="F31" i="19" s="1"/>
  <c r="H31" i="19" s="1"/>
  <c r="E27" i="19"/>
  <c r="G27" i="19" s="1"/>
  <c r="E6" i="19"/>
  <c r="F6" i="19" s="1"/>
  <c r="H6" i="19" s="1"/>
  <c r="E3" i="19"/>
  <c r="F3" i="19" s="1"/>
  <c r="H3" i="19" s="1"/>
  <c r="E17" i="19"/>
  <c r="F17" i="19" s="1"/>
  <c r="H17" i="19" s="1"/>
  <c r="E18" i="19"/>
  <c r="F18" i="19" s="1"/>
  <c r="H18" i="19" s="1"/>
  <c r="E9" i="19"/>
  <c r="G9" i="19" s="1"/>
  <c r="E4" i="19"/>
  <c r="F4" i="19" s="1"/>
  <c r="H4" i="19" s="1"/>
  <c r="E25" i="19"/>
  <c r="F25" i="19" s="1"/>
  <c r="H25" i="19" s="1"/>
  <c r="F18" i="20"/>
  <c r="H18" i="20" s="1"/>
  <c r="G18" i="20"/>
  <c r="F15" i="19"/>
  <c r="H15" i="19" s="1"/>
  <c r="G15" i="19"/>
  <c r="F29" i="20"/>
  <c r="H29" i="20" s="1"/>
  <c r="G29" i="20"/>
  <c r="G30" i="19"/>
  <c r="F4" i="20"/>
  <c r="H4" i="20" s="1"/>
  <c r="G4" i="20"/>
  <c r="F24" i="20"/>
  <c r="H24" i="20" s="1"/>
  <c r="G24" i="20"/>
  <c r="F33" i="20"/>
  <c r="H33" i="20" s="1"/>
  <c r="G33" i="20"/>
  <c r="F21" i="19"/>
  <c r="H21" i="19" s="1"/>
  <c r="G21" i="19"/>
  <c r="E10" i="19"/>
  <c r="F9" i="20"/>
  <c r="H9" i="20" s="1"/>
  <c r="G9" i="20"/>
  <c r="F31" i="20"/>
  <c r="H31" i="20" s="1"/>
  <c r="G31" i="20"/>
  <c r="E14" i="19"/>
  <c r="E20" i="19"/>
  <c r="E22" i="19"/>
  <c r="E29" i="19"/>
  <c r="E13" i="19"/>
  <c r="F23" i="20"/>
  <c r="H23" i="20" s="1"/>
  <c r="G23" i="20"/>
  <c r="F11" i="20"/>
  <c r="H11" i="20" s="1"/>
  <c r="G11" i="20"/>
  <c r="F19" i="20"/>
  <c r="H19" i="20" s="1"/>
  <c r="G19" i="20"/>
  <c r="F21" i="20"/>
  <c r="H21" i="20" s="1"/>
  <c r="G21" i="20"/>
  <c r="F16" i="20"/>
  <c r="H16" i="20" s="1"/>
  <c r="G16" i="20"/>
  <c r="F3" i="20"/>
  <c r="H3" i="20" s="1"/>
  <c r="G3" i="20"/>
  <c r="E33" i="19"/>
  <c r="F7" i="20"/>
  <c r="H7" i="20" s="1"/>
  <c r="G7" i="20"/>
  <c r="F15" i="20"/>
  <c r="H15" i="20" s="1"/>
  <c r="G15" i="20"/>
  <c r="F10" i="20"/>
  <c r="H10" i="20" s="1"/>
  <c r="G10" i="20"/>
  <c r="F14" i="20"/>
  <c r="H14" i="20" s="1"/>
  <c r="G14" i="20"/>
  <c r="F8" i="20"/>
  <c r="H8" i="20" s="1"/>
  <c r="G8" i="20"/>
  <c r="F6" i="20"/>
  <c r="H6" i="20" s="1"/>
  <c r="G6" i="20"/>
  <c r="F17" i="20"/>
  <c r="H17" i="20" s="1"/>
  <c r="G17" i="20"/>
  <c r="F13" i="20"/>
  <c r="H13" i="20" s="1"/>
  <c r="G13" i="20"/>
  <c r="F20" i="20"/>
  <c r="H20" i="20" s="1"/>
  <c r="G20" i="20"/>
  <c r="F22" i="20"/>
  <c r="H22" i="20" s="1"/>
  <c r="G22" i="20"/>
  <c r="E5" i="19"/>
  <c r="F26" i="20"/>
  <c r="H26" i="20" s="1"/>
  <c r="G26" i="20"/>
  <c r="E28" i="19"/>
  <c r="F27" i="20"/>
  <c r="H27" i="20" s="1"/>
  <c r="G27" i="20"/>
  <c r="F24" i="19"/>
  <c r="H24" i="19" s="1"/>
  <c r="F30" i="20"/>
  <c r="H30" i="20" s="1"/>
  <c r="G30" i="20"/>
  <c r="E7" i="19"/>
  <c r="F5" i="20"/>
  <c r="H5" i="20" s="1"/>
  <c r="G5" i="20"/>
  <c r="F12" i="20"/>
  <c r="H12" i="20" s="1"/>
  <c r="G12" i="20"/>
  <c r="E12" i="19"/>
  <c r="F32" i="20"/>
  <c r="H32" i="20" s="1"/>
  <c r="G32" i="20"/>
  <c r="G25" i="19"/>
  <c r="F28" i="20"/>
  <c r="H28" i="20" s="1"/>
  <c r="G28" i="20"/>
  <c r="E8" i="19"/>
  <c r="E16" i="19"/>
  <c r="E23" i="19"/>
  <c r="E11" i="19"/>
  <c r="E19" i="19"/>
  <c r="E26" i="19"/>
  <c r="G31" i="19" l="1"/>
  <c r="F27" i="19"/>
  <c r="H27" i="19" s="1"/>
  <c r="U82" i="2" s="1"/>
  <c r="G32" i="19"/>
  <c r="G3" i="19"/>
  <c r="F9" i="19"/>
  <c r="H9" i="19" s="1"/>
  <c r="U30" i="2" s="1"/>
  <c r="U96" i="2"/>
  <c r="U95" i="2"/>
  <c r="U65" i="2"/>
  <c r="U64" i="2"/>
  <c r="U61" i="2"/>
  <c r="U63" i="2"/>
  <c r="U62" i="2"/>
  <c r="U45" i="2"/>
  <c r="U44" i="2"/>
  <c r="G17" i="19"/>
  <c r="G18" i="19"/>
  <c r="U72" i="2"/>
  <c r="U73" i="2"/>
  <c r="U7" i="2"/>
  <c r="U3" i="2"/>
  <c r="U5" i="2"/>
  <c r="U4" i="2"/>
  <c r="U6" i="2"/>
  <c r="U8" i="2"/>
  <c r="U81" i="2"/>
  <c r="G6" i="19"/>
  <c r="U91" i="2"/>
  <c r="U90" i="2"/>
  <c r="U94" i="2"/>
  <c r="U93" i="2"/>
  <c r="U92" i="2"/>
  <c r="U74" i="2"/>
  <c r="U75" i="2"/>
  <c r="G4" i="19"/>
  <c r="F29" i="19"/>
  <c r="H29" i="19" s="1"/>
  <c r="G29" i="19"/>
  <c r="F13" i="19"/>
  <c r="H13" i="19" s="1"/>
  <c r="G13" i="19"/>
  <c r="F19" i="19"/>
  <c r="H19" i="19" s="1"/>
  <c r="G19" i="19"/>
  <c r="F22" i="19"/>
  <c r="H22" i="19" s="1"/>
  <c r="G22" i="19"/>
  <c r="F26" i="19"/>
  <c r="H26" i="19" s="1"/>
  <c r="G26" i="19"/>
  <c r="F20" i="19"/>
  <c r="H20" i="19" s="1"/>
  <c r="G20" i="19"/>
  <c r="F23" i="19"/>
  <c r="H23" i="19" s="1"/>
  <c r="G23" i="19"/>
  <c r="F14" i="19"/>
  <c r="H14" i="19" s="1"/>
  <c r="G14" i="19"/>
  <c r="F16" i="19"/>
  <c r="H16" i="19" s="1"/>
  <c r="G16" i="19"/>
  <c r="F28" i="19"/>
  <c r="H28" i="19" s="1"/>
  <c r="G28" i="19"/>
  <c r="F11" i="19"/>
  <c r="H11" i="19" s="1"/>
  <c r="G11" i="19"/>
  <c r="F8" i="19"/>
  <c r="H8" i="19" s="1"/>
  <c r="G8" i="19"/>
  <c r="F12" i="19"/>
  <c r="H12" i="19" s="1"/>
  <c r="G12" i="19"/>
  <c r="F5" i="19"/>
  <c r="H5" i="19" s="1"/>
  <c r="G5" i="19"/>
  <c r="F7" i="19"/>
  <c r="H7" i="19" s="1"/>
  <c r="G7" i="19"/>
  <c r="F33" i="19"/>
  <c r="H33" i="19" s="1"/>
  <c r="G33" i="19"/>
  <c r="F10" i="19"/>
  <c r="H10" i="19" s="1"/>
  <c r="G10" i="19"/>
  <c r="U32" i="2" s="1"/>
  <c r="U27" i="2" l="1"/>
  <c r="U33" i="2"/>
  <c r="U34" i="2"/>
  <c r="U35" i="2"/>
  <c r="U42" i="2"/>
  <c r="U41" i="2"/>
  <c r="U43" i="2"/>
  <c r="U40" i="2"/>
  <c r="U38" i="2"/>
  <c r="U37" i="2"/>
  <c r="U39" i="2"/>
  <c r="U52" i="2"/>
  <c r="U53" i="2"/>
  <c r="U55" i="2"/>
  <c r="U51" i="2"/>
  <c r="U54" i="2"/>
  <c r="U56" i="2"/>
  <c r="U31" i="2"/>
  <c r="U77" i="2"/>
  <c r="U76" i="2"/>
  <c r="U79" i="2"/>
  <c r="U78" i="2"/>
  <c r="U80" i="2"/>
  <c r="U14" i="2"/>
  <c r="U13" i="2"/>
  <c r="U15" i="2"/>
  <c r="U16" i="2"/>
  <c r="U20" i="2"/>
  <c r="U17" i="2"/>
  <c r="U19" i="2"/>
  <c r="U18" i="2"/>
  <c r="U50" i="2"/>
  <c r="U48" i="2"/>
  <c r="U49" i="2"/>
  <c r="U29" i="2"/>
  <c r="U36" i="2"/>
  <c r="U69" i="2"/>
  <c r="U70" i="2"/>
  <c r="U71" i="2"/>
  <c r="U87" i="2"/>
  <c r="U88" i="2"/>
  <c r="U89" i="2"/>
  <c r="U86" i="2"/>
  <c r="U26" i="2"/>
  <c r="U97" i="2"/>
  <c r="U100" i="2"/>
  <c r="U99" i="2"/>
  <c r="U98" i="2"/>
  <c r="U101" i="2"/>
  <c r="U84" i="2"/>
  <c r="U83" i="2"/>
  <c r="U85" i="2"/>
  <c r="U67" i="2"/>
  <c r="U68" i="2"/>
  <c r="U66" i="2"/>
  <c r="U21" i="2"/>
  <c r="U22" i="2"/>
  <c r="U47" i="2"/>
  <c r="U46" i="2"/>
  <c r="U57" i="2"/>
  <c r="U58" i="2"/>
  <c r="U23" i="2"/>
  <c r="U25" i="2"/>
  <c r="U24" i="2"/>
  <c r="U60" i="2"/>
  <c r="U59" i="2"/>
  <c r="U12" i="2"/>
  <c r="U9" i="2"/>
  <c r="U10" i="2"/>
  <c r="U11" i="2"/>
  <c r="U28" i="2"/>
  <c r="U10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4C6AF9-9B6B-4960-9A71-5CF541916E9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2" xr16:uid="{B4011671-D1F5-47BE-961F-ABDD461ABE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50085F7-44E6-4325-B916-D8E1669BC371}" name="WorksheetConnection_Prpoducts.xlsx!products" type="102" refreshedVersion="8" minRefreshableVersion="5">
    <extLst>
      <ext xmlns:x15="http://schemas.microsoft.com/office/spreadsheetml/2010/11/main" uri="{DE250136-89BD-433C-8126-D09CA5730AF9}">
        <x15:connection id="products" autoDelete="1">
          <x15:rangePr sourceName="_xlcn.WorksheetConnection_Prpoducts.xlsxproduct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<sst xmlns="http://schemas.openxmlformats.org/spreadsheetml/2006/main" count="1335" uniqueCount="368">
  <si>
    <t>Index</t>
  </si>
  <si>
    <t>Name</t>
  </si>
  <si>
    <t>Brand</t>
  </si>
  <si>
    <t>Category</t>
  </si>
  <si>
    <t>Price</t>
  </si>
  <si>
    <t>Currency</t>
  </si>
  <si>
    <t>Stock</t>
  </si>
  <si>
    <t>EAN</t>
  </si>
  <si>
    <t>Color</t>
  </si>
  <si>
    <t>Size</t>
  </si>
  <si>
    <t>Availability</t>
  </si>
  <si>
    <t>Internal ID</t>
  </si>
  <si>
    <t>Compact Printer Air Advanced Digital</t>
  </si>
  <si>
    <t>Books &amp; Stationery</t>
  </si>
  <si>
    <t>USD</t>
  </si>
  <si>
    <t>ForestGreen</t>
  </si>
  <si>
    <t>Large</t>
  </si>
  <si>
    <t>pre_order</t>
  </si>
  <si>
    <t>Tablet</t>
  </si>
  <si>
    <t>Mueller Inc</t>
  </si>
  <si>
    <t>Shoes &amp; Footwear</t>
  </si>
  <si>
    <t>Black</t>
  </si>
  <si>
    <t>8x10 in</t>
  </si>
  <si>
    <t>in_stock</t>
  </si>
  <si>
    <t>Smart Blender Cooker</t>
  </si>
  <si>
    <t>Lawson, Keller and Winters</t>
  </si>
  <si>
    <t>Kitchen Appliances</t>
  </si>
  <si>
    <t>SlateGray</t>
  </si>
  <si>
    <t>XS</t>
  </si>
  <si>
    <t>Advanced Router Rechargeable</t>
  </si>
  <si>
    <t>Gallagher and Sons</t>
  </si>
  <si>
    <t>PaleGreen</t>
  </si>
  <si>
    <t>L</t>
  </si>
  <si>
    <t>discontinued</t>
  </si>
  <si>
    <t>Portable Mouse Monitor Phone</t>
  </si>
  <si>
    <t>Irwin LLC</t>
  </si>
  <si>
    <t>Kids' Clothing</t>
  </si>
  <si>
    <t>SeaShell</t>
  </si>
  <si>
    <t>100x200 mm</t>
  </si>
  <si>
    <t>Radio</t>
  </si>
  <si>
    <t>Benjamin, Nelson and Hancock</t>
  </si>
  <si>
    <t>Skincare</t>
  </si>
  <si>
    <t>CornflowerBlue</t>
  </si>
  <si>
    <t>30x40 cm</t>
  </si>
  <si>
    <t>Ultra Projector Oven Thermostat Prime Advanced</t>
  </si>
  <si>
    <t>Mccoy, Waters and Rose</t>
  </si>
  <si>
    <t>Laptops &amp; Computers</t>
  </si>
  <si>
    <t>Purple</t>
  </si>
  <si>
    <t>S</t>
  </si>
  <si>
    <t>Webcam Stove Grill</t>
  </si>
  <si>
    <t>Morrow and Sons</t>
  </si>
  <si>
    <t>Automotive</t>
  </si>
  <si>
    <t>MediumOrchid</t>
  </si>
  <si>
    <t>Eco Radio</t>
  </si>
  <si>
    <t>Edwards, Odonnell and Conley</t>
  </si>
  <si>
    <t>DimGray</t>
  </si>
  <si>
    <t>Medium</t>
  </si>
  <si>
    <t>Ultra Powerbank Brush Charger Max</t>
  </si>
  <si>
    <t>Brennan, Archer and Rosales</t>
  </si>
  <si>
    <t>Fitness Equipment</t>
  </si>
  <si>
    <t>Silver</t>
  </si>
  <si>
    <t>Extra Large</t>
  </si>
  <si>
    <t>Wireless Dock</t>
  </si>
  <si>
    <t>Russo-West</t>
  </si>
  <si>
    <t>Health &amp; Wellness</t>
  </si>
  <si>
    <t>Wheat</t>
  </si>
  <si>
    <t>Fast Camera Router Fan Smart</t>
  </si>
  <si>
    <t>Vazquez and Sons</t>
  </si>
  <si>
    <t>Cleaning Supplies</t>
  </si>
  <si>
    <t>MidnightBlue</t>
  </si>
  <si>
    <t>Heater Radio</t>
  </si>
  <si>
    <t>Delgado-Blackwell</t>
  </si>
  <si>
    <t>Cycling</t>
  </si>
  <si>
    <t>Orange</t>
  </si>
  <si>
    <t>Smart Trimmer Webcam Heater</t>
  </si>
  <si>
    <t>Contreras PLC</t>
  </si>
  <si>
    <t>Gainsboro</t>
  </si>
  <si>
    <t>XXL</t>
  </si>
  <si>
    <t>Webcam Dock Heater</t>
  </si>
  <si>
    <t>Juarez, Powell and Travis</t>
  </si>
  <si>
    <t>Sienna</t>
  </si>
  <si>
    <t>Automatic Watch Lite Sense</t>
  </si>
  <si>
    <t>Reid, Chase and Ballard</t>
  </si>
  <si>
    <t>Team Sports</t>
  </si>
  <si>
    <t>Tan</t>
  </si>
  <si>
    <t>5x7 in</t>
  </si>
  <si>
    <t>limited_stock</t>
  </si>
  <si>
    <t>Eco Iron Monitor Air</t>
  </si>
  <si>
    <t>Barker-Murphy</t>
  </si>
  <si>
    <t>OliveDrab</t>
  </si>
  <si>
    <t>XL</t>
  </si>
  <si>
    <t>out_of_stock</t>
  </si>
  <si>
    <t>Digital Tablet Router Printer Lite</t>
  </si>
  <si>
    <t>Vazquez-Smith</t>
  </si>
  <si>
    <t>LemonChiffon</t>
  </si>
  <si>
    <t>10x10 cm</t>
  </si>
  <si>
    <t>backorder</t>
  </si>
  <si>
    <t>Eco Freezer Powerbank Watch</t>
  </si>
  <si>
    <t>Pruitt, Higgins and Barnett</t>
  </si>
  <si>
    <t>Cyan</t>
  </si>
  <si>
    <t>Cooler Fan</t>
  </si>
  <si>
    <t>Bray LLC</t>
  </si>
  <si>
    <t>Smartphones</t>
  </si>
  <si>
    <t>Bisque</t>
  </si>
  <si>
    <t>Portable Camera Plus Air Ultra</t>
  </si>
  <si>
    <t>Wang-Valenzuela</t>
  </si>
  <si>
    <t>Women's Clothing</t>
  </si>
  <si>
    <t>Magenta</t>
  </si>
  <si>
    <t>Wireless Powerbank 360 Advanced Ultra</t>
  </si>
  <si>
    <t>Carney Ltd</t>
  </si>
  <si>
    <t>Bedding &amp; Bath</t>
  </si>
  <si>
    <t>Beige</t>
  </si>
  <si>
    <t>M</t>
  </si>
  <si>
    <t>Rechargeable Lamp Speakerphone Headphones</t>
  </si>
  <si>
    <t>Gallegos, Osborne and Carpenter</t>
  </si>
  <si>
    <t>DarkBlue</t>
  </si>
  <si>
    <t>Mini Scooter Microphone</t>
  </si>
  <si>
    <t>Douglas, Thornton and Soto</t>
  </si>
  <si>
    <t>Grooming Tools</t>
  </si>
  <si>
    <t>Rechargeable Webcam Stove Grill</t>
  </si>
  <si>
    <t>Horn-Pope</t>
  </si>
  <si>
    <t>Mini Iron Drone Wireless Pro</t>
  </si>
  <si>
    <t>Khan-Parrish</t>
  </si>
  <si>
    <t>CadetBlue</t>
  </si>
  <si>
    <t>Portable Freezer Phone Automatic Smart</t>
  </si>
  <si>
    <t>Burton PLC</t>
  </si>
  <si>
    <t>Snow</t>
  </si>
  <si>
    <t>Wireless Webcam Stove Grill</t>
  </si>
  <si>
    <t>Henry Group</t>
  </si>
  <si>
    <t>Clothing &amp; Apparel</t>
  </si>
  <si>
    <t>LightSalmon</t>
  </si>
  <si>
    <t>50x70 cm</t>
  </si>
  <si>
    <t>Clock Brush</t>
  </si>
  <si>
    <t>Larson-Spence</t>
  </si>
  <si>
    <t>Furniture</t>
  </si>
  <si>
    <t>SaddleBrown</t>
  </si>
  <si>
    <t>Keyboard Toaster Monitor</t>
  </si>
  <si>
    <t>Bonilla-Spears</t>
  </si>
  <si>
    <t>DarkSlateGray</t>
  </si>
  <si>
    <t>Silent Printer Fan Shaver</t>
  </si>
  <si>
    <t>Love LLC</t>
  </si>
  <si>
    <t>Sports &amp; Outdoors</t>
  </si>
  <si>
    <t>MediumSpringGreen</t>
  </si>
  <si>
    <t>Wireless Scooter Clean Mini</t>
  </si>
  <si>
    <t>Terry-Oliver</t>
  </si>
  <si>
    <t>Fragrances</t>
  </si>
  <si>
    <t>MintCream</t>
  </si>
  <si>
    <t>Advanced Microphone Cooler Eco</t>
  </si>
  <si>
    <t>Morales, Weaver and Fernandez</t>
  </si>
  <si>
    <t>LightCyan</t>
  </si>
  <si>
    <t>Automatic Brush Fast Eco</t>
  </si>
  <si>
    <t>Newman Ltd</t>
  </si>
  <si>
    <t>SeaGreen</t>
  </si>
  <si>
    <t>Premium Bicycle Microphone</t>
  </si>
  <si>
    <t>Novak, Archer and Walton</t>
  </si>
  <si>
    <t>AliceBlue</t>
  </si>
  <si>
    <t>Smart Phone Scooter Clean</t>
  </si>
  <si>
    <t>Marshall-Dougherty</t>
  </si>
  <si>
    <t>MediumVioletRed</t>
  </si>
  <si>
    <t>Bicycle</t>
  </si>
  <si>
    <t>Hays-Cunningham</t>
  </si>
  <si>
    <t>White</t>
  </si>
  <si>
    <t>Ultra Dock Trimmer Automatic Edge</t>
  </si>
  <si>
    <t>Barnes-Glass</t>
  </si>
  <si>
    <t>LightBlue</t>
  </si>
  <si>
    <t>Wireless Tablet Router Printer Wireless Premium Air</t>
  </si>
  <si>
    <t>Meyers-Hess</t>
  </si>
  <si>
    <t>BlanchedAlmond</t>
  </si>
  <si>
    <t>Clean Printer Advanced Premium Sense</t>
  </si>
  <si>
    <t>Williamson PLC</t>
  </si>
  <si>
    <t>Haircare</t>
  </si>
  <si>
    <t>Moccasin</t>
  </si>
  <si>
    <t>Small</t>
  </si>
  <si>
    <t>Silent Dock Fast</t>
  </si>
  <si>
    <t>May, Hendrix and Robbins</t>
  </si>
  <si>
    <t>Fishing &amp; Hunting</t>
  </si>
  <si>
    <t>Ultra Speakerphone Oven Go Smart X</t>
  </si>
  <si>
    <t>Zimmerman, Barr and Davis</t>
  </si>
  <si>
    <t>Office Supplies</t>
  </si>
  <si>
    <t>12x18 in</t>
  </si>
  <si>
    <t>Rechargeable Projector Pro</t>
  </si>
  <si>
    <t>Levine, Martin and Mccann</t>
  </si>
  <si>
    <t>Home Decor</t>
  </si>
  <si>
    <t>SlateBlue</t>
  </si>
  <si>
    <t>Eco Vacuum</t>
  </si>
  <si>
    <t>Werner PLC</t>
  </si>
  <si>
    <t>LightCoral</t>
  </si>
  <si>
    <t>Smart Grill Tablet Fridge Go Smart Smart</t>
  </si>
  <si>
    <t>Huff, Cameron and Stephenson</t>
  </si>
  <si>
    <t>Cornsilk</t>
  </si>
  <si>
    <t>Digital Stove Silent Pro</t>
  </si>
  <si>
    <t>Suarez, Riddle and Sanders</t>
  </si>
  <si>
    <t>OrangeRed</t>
  </si>
  <si>
    <t>Portable Powerbank X Air</t>
  </si>
  <si>
    <t>Hanson-Schultz</t>
  </si>
  <si>
    <t>Camping &amp; Hiking</t>
  </si>
  <si>
    <t>Clock</t>
  </si>
  <si>
    <t>Malone, Jacobson and Hudson</t>
  </si>
  <si>
    <t>FloralWhite</t>
  </si>
  <si>
    <t>Radio Treadmill</t>
  </si>
  <si>
    <t>Barron-Little</t>
  </si>
  <si>
    <t>Violet</t>
  </si>
  <si>
    <t>Ultra Cooler Treadmill Touch Pro Ultra</t>
  </si>
  <si>
    <t>Bonilla-Oconnell</t>
  </si>
  <si>
    <t>NavajoWhite</t>
  </si>
  <si>
    <t>Mini Fridge Camera</t>
  </si>
  <si>
    <t>Decker and Sons</t>
  </si>
  <si>
    <t>PaleGoldenRod</t>
  </si>
  <si>
    <t>Rechargeable Tablet Plus Portable Mini</t>
  </si>
  <si>
    <t>Mooney-Gonzales</t>
  </si>
  <si>
    <t>Blake, Weiss and Montgomery</t>
  </si>
  <si>
    <t>Beauty &amp; Personal Care</t>
  </si>
  <si>
    <t>Chocolate</t>
  </si>
  <si>
    <t>Wireless Light Toaster Lite Touch Eco</t>
  </si>
  <si>
    <t>Singleton PLC</t>
  </si>
  <si>
    <t>Fuchsia</t>
  </si>
  <si>
    <t>Scooter</t>
  </si>
  <si>
    <t>Rivas Group</t>
  </si>
  <si>
    <t>Cameras &amp; Accessories</t>
  </si>
  <si>
    <t>DarkOrchid</t>
  </si>
  <si>
    <t>Advanced Camera Heater Webcam X Ultra Prime</t>
  </si>
  <si>
    <t>Cervantes Ltd</t>
  </si>
  <si>
    <t>Peru</t>
  </si>
  <si>
    <t>Ultra Keyboard Compact Eco</t>
  </si>
  <si>
    <t>Pace-Hodges</t>
  </si>
  <si>
    <t>LightGray</t>
  </si>
  <si>
    <t>Portable Scale Speaker Powerbank Clean</t>
  </si>
  <si>
    <t>Morris LLC</t>
  </si>
  <si>
    <t>PowderBlue</t>
  </si>
  <si>
    <t>Oven Speaker Fan</t>
  </si>
  <si>
    <t>Schwartz Ltd</t>
  </si>
  <si>
    <t>Men's Clothing</t>
  </si>
  <si>
    <t>GoldenRod</t>
  </si>
  <si>
    <t>Automatic Speaker Router Lamp Prime</t>
  </si>
  <si>
    <t>Sexton, Dickerson and Blair</t>
  </si>
  <si>
    <t>FireBrick</t>
  </si>
  <si>
    <t>Smart Webcam Projector Lock</t>
  </si>
  <si>
    <t>Stokes Inc</t>
  </si>
  <si>
    <t>SteelBlue</t>
  </si>
  <si>
    <t>Fast Fan</t>
  </si>
  <si>
    <t>Ali-Oliver</t>
  </si>
  <si>
    <t>Automatic Cooler Edge</t>
  </si>
  <si>
    <t>Odonnell, Boyle and Oconnor</t>
  </si>
  <si>
    <t>LimeGreen</t>
  </si>
  <si>
    <t>Advanced Freezer Advanced Advanced</t>
  </si>
  <si>
    <t>Gill LLC</t>
  </si>
  <si>
    <t>Tomato</t>
  </si>
  <si>
    <t>Silent Trimmer Shaver Fast</t>
  </si>
  <si>
    <t>Munoz Group</t>
  </si>
  <si>
    <t>Treadmill</t>
  </si>
  <si>
    <t>Frost, Christensen and Burnett</t>
  </si>
  <si>
    <t>Mini Charger Lock Oven Sense Sense</t>
  </si>
  <si>
    <t>Burton, Gross and Giles</t>
  </si>
  <si>
    <t>Olive</t>
  </si>
  <si>
    <t>Thermostat Trimmer</t>
  </si>
  <si>
    <t>Hester, Love and Lynch</t>
  </si>
  <si>
    <t>Accessories (Bags, Hats, Belts)</t>
  </si>
  <si>
    <t>Clean Iron Premium Air Wireless</t>
  </si>
  <si>
    <t>Shepherd, Greene and House</t>
  </si>
  <si>
    <t>GhostWhite</t>
  </si>
  <si>
    <t>Compact Mouse Mouse Router Mini</t>
  </si>
  <si>
    <t>Barry PLC</t>
  </si>
  <si>
    <t>Smartwatches</t>
  </si>
  <si>
    <t>PapayaWhip</t>
  </si>
  <si>
    <t>Premium Lock Mini Advanced</t>
  </si>
  <si>
    <t>Elliott, Mcfarland and Duran</t>
  </si>
  <si>
    <t>Plum</t>
  </si>
  <si>
    <t>Silent Webcam Webcam Treadmill Sense Portable Advanced</t>
  </si>
  <si>
    <t>George-Day</t>
  </si>
  <si>
    <t>Makeup</t>
  </si>
  <si>
    <t>Aqua</t>
  </si>
  <si>
    <t>Compact Thermostat Oven</t>
  </si>
  <si>
    <t>Hull Inc</t>
  </si>
  <si>
    <t>Home &amp; Kitchen</t>
  </si>
  <si>
    <t>Wireless Watch Tablet Printer Automatic Eco Sense</t>
  </si>
  <si>
    <t>Fleming Inc</t>
  </si>
  <si>
    <t>Automatic Blender</t>
  </si>
  <si>
    <t>Mahoney-Bryan</t>
  </si>
  <si>
    <t>LightGoldenRodYellow</t>
  </si>
  <si>
    <t>Rechargeable Webcam Dock Heater</t>
  </si>
  <si>
    <t>Kennedy-Gordon</t>
  </si>
  <si>
    <t>Brown</t>
  </si>
  <si>
    <t>Clean Toaster Oven Air Touch</t>
  </si>
  <si>
    <t>Olsen-Sawyer</t>
  </si>
  <si>
    <t>Brush</t>
  </si>
  <si>
    <t>Lowe, Mosley and Rivera</t>
  </si>
  <si>
    <t>RoyalBlue</t>
  </si>
  <si>
    <t>Portable Kettle</t>
  </si>
  <si>
    <t>Sampson-Leon</t>
  </si>
  <si>
    <t>MediumAquaMarine</t>
  </si>
  <si>
    <t>Rechargeable Brush Compact</t>
  </si>
  <si>
    <t>Castro-Mccarty</t>
  </si>
  <si>
    <t>Fast Heater Cooker Compact Silent</t>
  </si>
  <si>
    <t>Decker, Montes and Logan</t>
  </si>
  <si>
    <t>Orchid</t>
  </si>
  <si>
    <t>Mini Drone X Portable</t>
  </si>
  <si>
    <t>Whitney Group</t>
  </si>
  <si>
    <t>BlueViolet</t>
  </si>
  <si>
    <t>Heater Keyboard</t>
  </si>
  <si>
    <t>Brooks and Sons</t>
  </si>
  <si>
    <t>Wireless Fan Thermostat Max Automatic Max</t>
  </si>
  <si>
    <t>Kaiser-Banks</t>
  </si>
  <si>
    <t>Fast Keyboard</t>
  </si>
  <si>
    <t>Lewis Ltd</t>
  </si>
  <si>
    <t>Ultra Mixer Toaster Toaster Smart</t>
  </si>
  <si>
    <t>Galloway and Sons</t>
  </si>
  <si>
    <t>Silent Speakerphone Scanner Monitor</t>
  </si>
  <si>
    <t>Cowan Inc</t>
  </si>
  <si>
    <t>Navy</t>
  </si>
  <si>
    <t>Silent Scanner Monitor Treadmill</t>
  </si>
  <si>
    <t>Nichols, Howe and Miller</t>
  </si>
  <si>
    <t>Fast Vacuum Cooler</t>
  </si>
  <si>
    <t>Blair-Russell</t>
  </si>
  <si>
    <t>Digital Trimmer</t>
  </si>
  <si>
    <t>Christian-Tanner</t>
  </si>
  <si>
    <t>Automatic Trimmer Sense</t>
  </si>
  <si>
    <t>Harrington-Valentine</t>
  </si>
  <si>
    <t>Portable Scooter Wireless Digital</t>
  </si>
  <si>
    <t>Bauer Inc</t>
  </si>
  <si>
    <t>DeepSkyBlue</t>
  </si>
  <si>
    <t>Fridge Cooker</t>
  </si>
  <si>
    <t>Jackson Group</t>
  </si>
  <si>
    <t>Scanner</t>
  </si>
  <si>
    <t>Wang, Ayala and Bowen</t>
  </si>
  <si>
    <t>Ultra Radio Radio</t>
  </si>
  <si>
    <t>Maldonado-Ritter</t>
  </si>
  <si>
    <t>Aquamarine</t>
  </si>
  <si>
    <t>Router</t>
  </si>
  <si>
    <t>Atkinson Inc</t>
  </si>
  <si>
    <t>Fast Thermostat Microphone Scooter</t>
  </si>
  <si>
    <t>Shea Ltd</t>
  </si>
  <si>
    <t>Eco Heater Toaster Stove Silent Sense</t>
  </si>
  <si>
    <t>West Ltd</t>
  </si>
  <si>
    <t>OldLace</t>
  </si>
  <si>
    <t>Clean Blender Scale Lite</t>
  </si>
  <si>
    <t>Bell, Gamble and Barrett</t>
  </si>
  <si>
    <t>Smart Lamp</t>
  </si>
  <si>
    <t>Hebert, Hughes and Trujillo</t>
  </si>
  <si>
    <t>Average price</t>
  </si>
  <si>
    <t xml:space="preserve">S </t>
  </si>
  <si>
    <t>TechPro</t>
  </si>
  <si>
    <t>Row Labels</t>
  </si>
  <si>
    <t>Grand Total</t>
  </si>
  <si>
    <t>Average of Price</t>
  </si>
  <si>
    <t>Sum of Stock</t>
  </si>
  <si>
    <t>Count of Availability</t>
  </si>
  <si>
    <t>Sum of Price</t>
  </si>
  <si>
    <t>Inventory value</t>
  </si>
  <si>
    <t>Sum of Inventory value</t>
  </si>
  <si>
    <t>CV</t>
  </si>
  <si>
    <t>SD</t>
  </si>
  <si>
    <t>CATEGORY</t>
  </si>
  <si>
    <t>Average Stock</t>
  </si>
  <si>
    <t>STABILITY</t>
  </si>
  <si>
    <t>VOLATILITY</t>
  </si>
  <si>
    <t>(blank)</t>
  </si>
  <si>
    <t>Sock Status</t>
  </si>
  <si>
    <t>Stock Outliers</t>
  </si>
  <si>
    <t>Price Outliers</t>
  </si>
  <si>
    <t>Inventory Val. Status</t>
  </si>
  <si>
    <t>Count of Sock Status</t>
  </si>
  <si>
    <t>Count of Inventory Val. Status</t>
  </si>
  <si>
    <t>Numeric Inv. Status</t>
  </si>
  <si>
    <t xml:space="preserve">Numeric Price Outlier </t>
  </si>
  <si>
    <t>Numeric VOLATILITY</t>
  </si>
  <si>
    <t>Numeric STABILITY</t>
  </si>
  <si>
    <t>CHS</t>
  </si>
  <si>
    <t>Adjusted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</si>
</sst>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3">
    <border>
      <left/>
      <right/>
      <top/>
      <bottom/>
      <diagonal/>
    </border>
    <border>
      <left/>
      <right style="thin">
        <color theme="9" tint="0.39997558519241921"/>
      </right>
      <top style="double">
        <color theme="9"/>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1">
    <xf numFmtId="0" fontId="0" fillId="0" borderId="0" xfId="0"/>
    <xf numFmtId="0" fontId="1" fillId="0" borderId="1" xfId="0" applyFont="1" applyBorder="1"/>
    <xf numFmtId="0" fontId="0" fillId="0" borderId="0" xfId="0" pivotButton="1"/>
    <xf numFmtId="0" fontId="0" fillId="0" borderId="0" xfId="0" applyAlignment="1">
      <alignment horizontal="left"/>
    </xf>
    <xf numFmtId="0" fontId="1" fillId="0" borderId="0" xfId="0" applyFont="1" applyAlignment="1">
      <alignment horizontal="center" vertical="center" wrapText="1"/>
    </xf>
    <xf numFmtId="0" fontId="0" fillId="0" borderId="0" xfId="0" applyAlignment="1">
      <alignment vertical="center" wrapText="1"/>
    </xf>
    <xf numFmtId="10" fontId="0" fillId="0" borderId="0" xfId="0" applyNumberFormat="1"/>
    <xf numFmtId="0" fontId="3" fillId="3" borderId="2" xfId="0" applyFont="1" applyFill="1" applyBorder="1"/>
    <xf numFmtId="0" fontId="0" fillId="2" borderId="2" xfId="0" applyFill="1" applyBorder="1"/>
    <xf numFmtId="0" fontId="3" fillId="3" borderId="0" xfId="0" applyFont="1" applyFill="1"/>
    <xf numFmtId="0" fontId="0" fillId="2" borderId="0" xfId="0" applyFill="1"/>
  </cellXfs>
  <cellStyles count="1">
    <cellStyle name="Normal" xfId="0" builtinId="0"/>
  </cellStyles>
  <dxfs count="41">
    <dxf>
      <font>
        <color rgb="FF9C0006"/>
      </font>
      <fill>
        <patternFill>
          <bgColor rgb="FFFFC7CE"/>
        </patternFill>
      </fill>
    </dxf>
    <dxf>
      <fill>
        <patternFill>
          <bgColor rgb="FFFF0000"/>
        </patternFill>
      </fill>
    </dxf>
    <dxf>
      <fill>
        <patternFill>
          <bgColor rgb="FF00B050"/>
        </patternFill>
      </fill>
    </dxf>
    <dxf>
      <fill>
        <patternFill>
          <bgColor rgb="FFFF0000"/>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00000"/>
        </patternFill>
      </fill>
    </dxf>
    <dxf>
      <font>
        <color rgb="FF9C0006"/>
      </font>
      <fill>
        <patternFill>
          <bgColor rgb="FFFFC7CE"/>
        </patternFill>
      </fill>
    </dxf>
    <dxf>
      <fill>
        <patternFill>
          <bgColor rgb="FFC00000"/>
        </patternFill>
      </fill>
    </dxf>
    <dxf>
      <font>
        <color rgb="FF9C0006"/>
      </font>
      <fill>
        <patternFill>
          <bgColor rgb="FFFFC7CE"/>
        </patternFill>
      </fill>
    </dxf>
    <dxf>
      <fill>
        <patternFill>
          <bgColor rgb="FFC00000"/>
        </patternFill>
      </fill>
    </dxf>
    <dxf>
      <font>
        <color rgb="FF9C0006"/>
      </font>
      <fill>
        <patternFill>
          <bgColor rgb="FFFFC7CE"/>
        </patternFill>
      </fill>
    </dxf>
    <dxf>
      <fill>
        <patternFill>
          <bgColor rgb="FFC00000"/>
        </patternFill>
      </fill>
    </dxf>
    <dxf>
      <font>
        <color rgb="FF9C0006"/>
      </font>
      <fill>
        <patternFill>
          <bgColor rgb="FFFFC7CE"/>
        </patternFill>
      </fill>
    </dxf>
    <dxf>
      <font>
        <color rgb="FF9C0006"/>
      </font>
      <fill>
        <patternFill>
          <bgColor rgb="FFFFC7CE"/>
        </patternFill>
      </fill>
    </dxf>
    <dxf>
      <fill>
        <patternFill>
          <bgColor rgb="FFC00000"/>
        </patternFill>
      </fill>
    </dxf>
    <dxf>
      <font>
        <u val="double"/>
        <color theme="6" tint="-0.24994659260841701"/>
      </font>
    </dxf>
    <dxf>
      <font>
        <u val="double"/>
        <color theme="6" tint="-0.24994659260841701"/>
      </font>
    </dxf>
    <dxf>
      <numFmt numFmtId="0" formatCode="General"/>
    </dxf>
    <dxf>
      <numFmt numFmtId="0" formatCode="General"/>
    </dxf>
    <dxf>
      <numFmt numFmtId="0" formatCode="General"/>
      <fill>
        <patternFill patternType="solid">
          <fgColor theme="9" tint="0.79998168889431442"/>
          <bgColor theme="9"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haredStrings" Target="sharedString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[products.xlsx]Average price per category!PivotTable1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price per category'!$B$3</c:f>
              <c:strCache>
                <c:ptCount val="1"/>
                <c:pt idx="0">
                  <c:v>Total</c:v>
                </c:pt>
              </c:strCache>
            </c:strRef>
          </c:tx>
          <c:spPr>
            <a:solidFill>
              <a:schemeClr val="accent1"/>
            </a:solidFill>
            <a:ln>
              <a:noFill/>
            </a:ln>
            <a:effectLst/>
          </c:spPr>
          <c:invertIfNegative val="0"/>
          <c:cat>
            <c:strRef>
              <c:f>'Average price per category'!$A$4:$A$37</c:f>
              <c:strCache>
                <c:ptCount val="33"/>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pt idx="32">
                  <c:v>(blank)</c:v>
                </c:pt>
              </c:strCache>
            </c:strRef>
          </c:cat>
          <c:val>
            <c:numRef>
              <c:f>'Average price per category'!$B$4:$B$37</c:f>
              <c:numCache>
                <c:formatCode>General</c:formatCode>
                <c:ptCount val="33"/>
                <c:pt idx="0">
                  <c:v>206</c:v>
                </c:pt>
                <c:pt idx="1">
                  <c:v>421.66666666666669</c:v>
                </c:pt>
                <c:pt idx="2">
                  <c:v>278.5</c:v>
                </c:pt>
                <c:pt idx="3">
                  <c:v>453</c:v>
                </c:pt>
                <c:pt idx="4">
                  <c:v>388.5</c:v>
                </c:pt>
                <c:pt idx="5">
                  <c:v>444.5</c:v>
                </c:pt>
                <c:pt idx="6">
                  <c:v>612.66666666666663</c:v>
                </c:pt>
                <c:pt idx="7">
                  <c:v>391.33333333333331</c:v>
                </c:pt>
                <c:pt idx="8">
                  <c:v>858</c:v>
                </c:pt>
                <c:pt idx="9">
                  <c:v>799.33333333333337</c:v>
                </c:pt>
                <c:pt idx="10">
                  <c:v>100</c:v>
                </c:pt>
                <c:pt idx="11">
                  <c:v>703.33333333333337</c:v>
                </c:pt>
                <c:pt idx="12">
                  <c:v>477.5</c:v>
                </c:pt>
                <c:pt idx="13">
                  <c:v>689</c:v>
                </c:pt>
                <c:pt idx="14">
                  <c:v>702.5</c:v>
                </c:pt>
                <c:pt idx="15">
                  <c:v>681.66666666666663</c:v>
                </c:pt>
                <c:pt idx="16">
                  <c:v>268.33333333333331</c:v>
                </c:pt>
                <c:pt idx="17">
                  <c:v>367.5</c:v>
                </c:pt>
                <c:pt idx="18">
                  <c:v>782.5</c:v>
                </c:pt>
                <c:pt idx="19">
                  <c:v>397.8</c:v>
                </c:pt>
                <c:pt idx="20">
                  <c:v>251</c:v>
                </c:pt>
                <c:pt idx="21">
                  <c:v>328</c:v>
                </c:pt>
                <c:pt idx="22">
                  <c:v>257.5</c:v>
                </c:pt>
                <c:pt idx="23">
                  <c:v>464.5</c:v>
                </c:pt>
                <c:pt idx="24">
                  <c:v>465.2</c:v>
                </c:pt>
                <c:pt idx="25">
                  <c:v>491</c:v>
                </c:pt>
                <c:pt idx="26">
                  <c:v>514.66666666666663</c:v>
                </c:pt>
                <c:pt idx="27">
                  <c:v>449.25</c:v>
                </c:pt>
                <c:pt idx="28">
                  <c:v>32</c:v>
                </c:pt>
                <c:pt idx="29">
                  <c:v>396.66666666666669</c:v>
                </c:pt>
                <c:pt idx="30">
                  <c:v>523.5</c:v>
                </c:pt>
                <c:pt idx="31">
                  <c:v>518.79999999999995</c:v>
                </c:pt>
              </c:numCache>
            </c:numRef>
          </c:val>
          <c:extLst>
            <c:ext xmlns:c16="http://schemas.microsoft.com/office/drawing/2014/chart" uri="{C3380CC4-5D6E-409C-BE32-E72D297353CC}">
              <c16:uniqueId val="{00000000-4066-4CEC-A599-EE5D004D38AD}"/>
            </c:ext>
          </c:extLst>
        </c:ser>
        <c:dLbls>
          <c:showLegendKey val="0"/>
          <c:showVal val="0"/>
          <c:showCatName val="0"/>
          <c:showSerName val="0"/>
          <c:showPercent val="0"/>
          <c:showBubbleSize val="0"/>
        </c:dLbls>
        <c:gapWidth val="219"/>
        <c:overlap val="-27"/>
        <c:axId val="1687050095"/>
        <c:axId val="1687052495"/>
      </c:barChart>
      <c:catAx>
        <c:axId val="168705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87052495"/>
        <c:crosses val="autoZero"/>
        <c:auto val="1"/>
        <c:lblAlgn val="ctr"/>
        <c:lblOffset val="100"/>
        <c:noMultiLvlLbl val="0"/>
      </c:catAx>
      <c:valAx>
        <c:axId val="168705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8705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[products.xlsx]total stock per category!PivotTable2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stock per category'!$B$3</c:f>
              <c:strCache>
                <c:ptCount val="1"/>
                <c:pt idx="0">
                  <c:v>Total</c:v>
                </c:pt>
              </c:strCache>
            </c:strRef>
          </c:tx>
          <c:spPr>
            <a:ln w="28575" cap="rnd">
              <a:solidFill>
                <a:schemeClr val="accent1"/>
              </a:solidFill>
              <a:round/>
            </a:ln>
            <a:effectLst/>
          </c:spPr>
          <c:marker>
            <c:symbol val="none"/>
          </c:marker>
          <c:cat>
            <c:strRef>
              <c:f>'total stock per category'!$A$4:$A$37</c:f>
              <c:strCache>
                <c:ptCount val="33"/>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pt idx="32">
                  <c:v>(blank)</c:v>
                </c:pt>
              </c:strCache>
            </c:strRef>
          </c:cat>
          <c:val>
            <c:numRef>
              <c:f>'total stock per category'!$B$4:$B$37</c:f>
              <c:numCache>
                <c:formatCode>General</c:formatCode>
                <c:ptCount val="33"/>
                <c:pt idx="0">
                  <c:v>677</c:v>
                </c:pt>
                <c:pt idx="1">
                  <c:v>2970</c:v>
                </c:pt>
                <c:pt idx="2">
                  <c:v>2862</c:v>
                </c:pt>
                <c:pt idx="3">
                  <c:v>1919</c:v>
                </c:pt>
                <c:pt idx="4">
                  <c:v>2147</c:v>
                </c:pt>
                <c:pt idx="5">
                  <c:v>1096</c:v>
                </c:pt>
                <c:pt idx="6">
                  <c:v>664</c:v>
                </c:pt>
                <c:pt idx="7">
                  <c:v>3314</c:v>
                </c:pt>
                <c:pt idx="8">
                  <c:v>912</c:v>
                </c:pt>
                <c:pt idx="9">
                  <c:v>1104</c:v>
                </c:pt>
                <c:pt idx="10">
                  <c:v>802</c:v>
                </c:pt>
                <c:pt idx="11">
                  <c:v>2362</c:v>
                </c:pt>
                <c:pt idx="12">
                  <c:v>2032</c:v>
                </c:pt>
                <c:pt idx="13">
                  <c:v>679</c:v>
                </c:pt>
                <c:pt idx="14">
                  <c:v>1177</c:v>
                </c:pt>
                <c:pt idx="15">
                  <c:v>2082</c:v>
                </c:pt>
                <c:pt idx="16">
                  <c:v>3268</c:v>
                </c:pt>
                <c:pt idx="17">
                  <c:v>1160</c:v>
                </c:pt>
                <c:pt idx="18">
                  <c:v>493</c:v>
                </c:pt>
                <c:pt idx="19">
                  <c:v>3049</c:v>
                </c:pt>
                <c:pt idx="20">
                  <c:v>2572</c:v>
                </c:pt>
                <c:pt idx="21">
                  <c:v>2061</c:v>
                </c:pt>
                <c:pt idx="22">
                  <c:v>669</c:v>
                </c:pt>
                <c:pt idx="23">
                  <c:v>1396</c:v>
                </c:pt>
                <c:pt idx="24">
                  <c:v>2389</c:v>
                </c:pt>
                <c:pt idx="25">
                  <c:v>445</c:v>
                </c:pt>
                <c:pt idx="26">
                  <c:v>1625</c:v>
                </c:pt>
                <c:pt idx="27">
                  <c:v>2646</c:v>
                </c:pt>
                <c:pt idx="28">
                  <c:v>416</c:v>
                </c:pt>
                <c:pt idx="29">
                  <c:v>1936</c:v>
                </c:pt>
                <c:pt idx="30">
                  <c:v>993</c:v>
                </c:pt>
                <c:pt idx="31">
                  <c:v>2187</c:v>
                </c:pt>
                <c:pt idx="32">
                  <c:v>541.04</c:v>
                </c:pt>
              </c:numCache>
            </c:numRef>
          </c:val>
          <c:smooth val="0"/>
          <c:extLst>
            <c:ext xmlns:c16="http://schemas.microsoft.com/office/drawing/2014/chart" uri="{C3380CC4-5D6E-409C-BE32-E72D297353CC}">
              <c16:uniqueId val="{00000000-519E-4037-9942-1B0414CC970D}"/>
            </c:ext>
          </c:extLst>
        </c:ser>
        <c:dLbls>
          <c:showLegendKey val="0"/>
          <c:showVal val="0"/>
          <c:showCatName val="0"/>
          <c:showSerName val="0"/>
          <c:showPercent val="0"/>
          <c:showBubbleSize val="0"/>
        </c:dLbls>
        <c:smooth val="0"/>
        <c:axId val="1266065872"/>
        <c:axId val="1266064912"/>
      </c:lineChart>
      <c:catAx>
        <c:axId val="126606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6064912"/>
        <c:crosses val="autoZero"/>
        <c:auto val="1"/>
        <c:lblAlgn val="ctr"/>
        <c:lblOffset val="100"/>
        <c:noMultiLvlLbl val="0"/>
      </c:catAx>
      <c:valAx>
        <c:axId val="126606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606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[products.xlsx]Total price per category!PivotTable2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price per category'!$B$3</c:f>
              <c:strCache>
                <c:ptCount val="1"/>
                <c:pt idx="0">
                  <c:v>Total</c:v>
                </c:pt>
              </c:strCache>
            </c:strRef>
          </c:tx>
          <c:spPr>
            <a:solidFill>
              <a:schemeClr val="accent1"/>
            </a:solidFill>
            <a:ln>
              <a:noFill/>
            </a:ln>
            <a:effectLst/>
          </c:spPr>
          <c:invertIfNegative val="0"/>
          <c:cat>
            <c:strRef>
              <c:f>'Total price per category'!$A$4:$A$36</c:f>
              <c:strCache>
                <c:ptCount val="32"/>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strCache>
            </c:strRef>
          </c:cat>
          <c:val>
            <c:numRef>
              <c:f>'Total price per category'!$B$4:$B$36</c:f>
              <c:numCache>
                <c:formatCode>General</c:formatCode>
                <c:ptCount val="32"/>
                <c:pt idx="0">
                  <c:v>206</c:v>
                </c:pt>
                <c:pt idx="1">
                  <c:v>2530</c:v>
                </c:pt>
                <c:pt idx="2">
                  <c:v>1114</c:v>
                </c:pt>
                <c:pt idx="3">
                  <c:v>1812</c:v>
                </c:pt>
                <c:pt idx="4">
                  <c:v>1554</c:v>
                </c:pt>
                <c:pt idx="5">
                  <c:v>889</c:v>
                </c:pt>
                <c:pt idx="6">
                  <c:v>1838</c:v>
                </c:pt>
                <c:pt idx="7">
                  <c:v>2348</c:v>
                </c:pt>
                <c:pt idx="8">
                  <c:v>858</c:v>
                </c:pt>
                <c:pt idx="9">
                  <c:v>2398</c:v>
                </c:pt>
                <c:pt idx="10">
                  <c:v>100</c:v>
                </c:pt>
                <c:pt idx="11">
                  <c:v>2110</c:v>
                </c:pt>
                <c:pt idx="12">
                  <c:v>1910</c:v>
                </c:pt>
                <c:pt idx="13">
                  <c:v>1378</c:v>
                </c:pt>
                <c:pt idx="14">
                  <c:v>1405</c:v>
                </c:pt>
                <c:pt idx="15">
                  <c:v>2045</c:v>
                </c:pt>
                <c:pt idx="16">
                  <c:v>1610</c:v>
                </c:pt>
                <c:pt idx="17">
                  <c:v>735</c:v>
                </c:pt>
                <c:pt idx="18">
                  <c:v>1565</c:v>
                </c:pt>
                <c:pt idx="19">
                  <c:v>1989</c:v>
                </c:pt>
                <c:pt idx="20">
                  <c:v>753</c:v>
                </c:pt>
                <c:pt idx="21">
                  <c:v>984</c:v>
                </c:pt>
                <c:pt idx="22">
                  <c:v>515</c:v>
                </c:pt>
                <c:pt idx="23">
                  <c:v>929</c:v>
                </c:pt>
                <c:pt idx="24">
                  <c:v>2326</c:v>
                </c:pt>
                <c:pt idx="25">
                  <c:v>982</c:v>
                </c:pt>
                <c:pt idx="26">
                  <c:v>1544</c:v>
                </c:pt>
                <c:pt idx="27">
                  <c:v>1797</c:v>
                </c:pt>
                <c:pt idx="28">
                  <c:v>64</c:v>
                </c:pt>
                <c:pt idx="29">
                  <c:v>1190</c:v>
                </c:pt>
                <c:pt idx="30">
                  <c:v>1047</c:v>
                </c:pt>
                <c:pt idx="31">
                  <c:v>2594</c:v>
                </c:pt>
              </c:numCache>
            </c:numRef>
          </c:val>
          <c:extLst>
            <c:ext xmlns:c16="http://schemas.microsoft.com/office/drawing/2014/chart" uri="{C3380CC4-5D6E-409C-BE32-E72D297353CC}">
              <c16:uniqueId val="{00000002-DB01-4927-9D75-A84234EB3E25}"/>
            </c:ext>
          </c:extLst>
        </c:ser>
        <c:dLbls>
          <c:showLegendKey val="0"/>
          <c:showVal val="0"/>
          <c:showCatName val="0"/>
          <c:showSerName val="0"/>
          <c:showPercent val="0"/>
          <c:showBubbleSize val="0"/>
        </c:dLbls>
        <c:gapWidth val="219"/>
        <c:overlap val="-27"/>
        <c:axId val="462965168"/>
        <c:axId val="66921120"/>
      </c:barChart>
      <c:catAx>
        <c:axId val="46296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6921120"/>
        <c:crosses val="autoZero"/>
        <c:auto val="1"/>
        <c:lblAlgn val="ctr"/>
        <c:lblOffset val="100"/>
        <c:noMultiLvlLbl val="0"/>
      </c:catAx>
      <c:valAx>
        <c:axId val="6692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296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[products.xlsx]Total inventory value per cat!PivotTable1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64324366389692"/>
          <c:y val="0.18619242323218155"/>
          <c:w val="0.53056882712903264"/>
          <c:h val="0.73060646251173333"/>
        </c:manualLayout>
      </c:layout>
      <c:barChart>
        <c:barDir val="bar"/>
        <c:grouping val="clustered"/>
        <c:varyColors val="0"/>
        <c:ser>
          <c:idx val="0"/>
          <c:order val="0"/>
          <c:tx>
            <c:strRef>
              <c:f>'Total inventory value per cat'!$B$3</c:f>
              <c:strCache>
                <c:ptCount val="1"/>
                <c:pt idx="0">
                  <c:v>Total</c:v>
                </c:pt>
              </c:strCache>
            </c:strRef>
          </c:tx>
          <c:spPr>
            <a:solidFill>
              <a:schemeClr val="accent1"/>
            </a:solidFill>
            <a:ln>
              <a:noFill/>
            </a:ln>
            <a:effectLst/>
          </c:spPr>
          <c:invertIfNegative val="0"/>
          <c:cat>
            <c:strRef>
              <c:f>'Total inventory value per cat'!$A$4:$A$37</c:f>
              <c:strCache>
                <c:ptCount val="33"/>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pt idx="32">
                  <c:v>(blank)</c:v>
                </c:pt>
              </c:strCache>
            </c:strRef>
          </c:cat>
          <c:val>
            <c:numRef>
              <c:f>'Total inventory value per cat'!$B$4:$B$37</c:f>
              <c:numCache>
                <c:formatCode>General</c:formatCode>
                <c:ptCount val="33"/>
                <c:pt idx="0">
                  <c:v>139462</c:v>
                </c:pt>
                <c:pt idx="1">
                  <c:v>880948</c:v>
                </c:pt>
                <c:pt idx="2">
                  <c:v>854991</c:v>
                </c:pt>
                <c:pt idx="3">
                  <c:v>1110843</c:v>
                </c:pt>
                <c:pt idx="4">
                  <c:v>821837</c:v>
                </c:pt>
                <c:pt idx="5">
                  <c:v>479275</c:v>
                </c:pt>
                <c:pt idx="6">
                  <c:v>261748</c:v>
                </c:pt>
                <c:pt idx="7">
                  <c:v>1425491</c:v>
                </c:pt>
                <c:pt idx="8">
                  <c:v>782496</c:v>
                </c:pt>
                <c:pt idx="9">
                  <c:v>952757</c:v>
                </c:pt>
                <c:pt idx="10">
                  <c:v>80200</c:v>
                </c:pt>
                <c:pt idx="11">
                  <c:v>1594452</c:v>
                </c:pt>
                <c:pt idx="12">
                  <c:v>1002545</c:v>
                </c:pt>
                <c:pt idx="13">
                  <c:v>373407</c:v>
                </c:pt>
                <c:pt idx="14">
                  <c:v>814047</c:v>
                </c:pt>
                <c:pt idx="15">
                  <c:v>1460008</c:v>
                </c:pt>
                <c:pt idx="16">
                  <c:v>857113</c:v>
                </c:pt>
                <c:pt idx="17">
                  <c:v>532345</c:v>
                </c:pt>
                <c:pt idx="18">
                  <c:v>327365</c:v>
                </c:pt>
                <c:pt idx="19">
                  <c:v>1211123</c:v>
                </c:pt>
                <c:pt idx="20">
                  <c:v>657968</c:v>
                </c:pt>
                <c:pt idx="21">
                  <c:v>586793</c:v>
                </c:pt>
                <c:pt idx="22">
                  <c:v>103173</c:v>
                </c:pt>
                <c:pt idx="23">
                  <c:v>634967</c:v>
                </c:pt>
                <c:pt idx="24">
                  <c:v>1433073</c:v>
                </c:pt>
                <c:pt idx="25">
                  <c:v>215382</c:v>
                </c:pt>
                <c:pt idx="26">
                  <c:v>843548</c:v>
                </c:pt>
                <c:pt idx="27">
                  <c:v>1133480</c:v>
                </c:pt>
                <c:pt idx="28">
                  <c:v>11206</c:v>
                </c:pt>
                <c:pt idx="29">
                  <c:v>906085</c:v>
                </c:pt>
                <c:pt idx="30">
                  <c:v>589348</c:v>
                </c:pt>
                <c:pt idx="31">
                  <c:v>1341950</c:v>
                </c:pt>
                <c:pt idx="32">
                  <c:v>244194.26</c:v>
                </c:pt>
              </c:numCache>
            </c:numRef>
          </c:val>
          <c:extLst>
            <c:ext xmlns:c16="http://schemas.microsoft.com/office/drawing/2014/chart" uri="{C3380CC4-5D6E-409C-BE32-E72D297353CC}">
              <c16:uniqueId val="{00000000-5032-4FED-9956-C54298192381}"/>
            </c:ext>
          </c:extLst>
        </c:ser>
        <c:dLbls>
          <c:showLegendKey val="0"/>
          <c:showVal val="0"/>
          <c:showCatName val="0"/>
          <c:showSerName val="0"/>
          <c:showPercent val="0"/>
          <c:showBubbleSize val="0"/>
        </c:dLbls>
        <c:gapWidth val="182"/>
        <c:axId val="1611227071"/>
        <c:axId val="1611220351"/>
      </c:barChart>
      <c:catAx>
        <c:axId val="161122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1220351"/>
        <c:crosses val="autoZero"/>
        <c:auto val="1"/>
        <c:lblAlgn val="ctr"/>
        <c:lblOffset val="100"/>
        <c:noMultiLvlLbl val="0"/>
      </c:catAx>
      <c:valAx>
        <c:axId val="1611220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122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[products.xlsx]Average price per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Average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price per category'!$B$3</c:f>
              <c:strCache>
                <c:ptCount val="1"/>
                <c:pt idx="0">
                  <c:v>Total</c:v>
                </c:pt>
              </c:strCache>
            </c:strRef>
          </c:tx>
          <c:spPr>
            <a:solidFill>
              <a:schemeClr val="accent1"/>
            </a:solidFill>
            <a:ln>
              <a:noFill/>
            </a:ln>
            <a:effectLst/>
          </c:spPr>
          <c:invertIfNegative val="0"/>
          <c:cat>
            <c:strRef>
              <c:f>'Average price per category'!$A$4:$A$37</c:f>
              <c:strCache>
                <c:ptCount val="33"/>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pt idx="32">
                  <c:v>(blank)</c:v>
                </c:pt>
              </c:strCache>
            </c:strRef>
          </c:cat>
          <c:val>
            <c:numRef>
              <c:f>'Average price per category'!$B$4:$B$37</c:f>
              <c:numCache>
                <c:formatCode>General</c:formatCode>
                <c:ptCount val="33"/>
                <c:pt idx="0">
                  <c:v>206</c:v>
                </c:pt>
                <c:pt idx="1">
                  <c:v>421.66666666666669</c:v>
                </c:pt>
                <c:pt idx="2">
                  <c:v>278.5</c:v>
                </c:pt>
                <c:pt idx="3">
                  <c:v>453</c:v>
                </c:pt>
                <c:pt idx="4">
                  <c:v>388.5</c:v>
                </c:pt>
                <c:pt idx="5">
                  <c:v>444.5</c:v>
                </c:pt>
                <c:pt idx="6">
                  <c:v>612.66666666666663</c:v>
                </c:pt>
                <c:pt idx="7">
                  <c:v>391.33333333333331</c:v>
                </c:pt>
                <c:pt idx="8">
                  <c:v>858</c:v>
                </c:pt>
                <c:pt idx="9">
                  <c:v>799.33333333333337</c:v>
                </c:pt>
                <c:pt idx="10">
                  <c:v>100</c:v>
                </c:pt>
                <c:pt idx="11">
                  <c:v>703.33333333333337</c:v>
                </c:pt>
                <c:pt idx="12">
                  <c:v>477.5</c:v>
                </c:pt>
                <c:pt idx="13">
                  <c:v>689</c:v>
                </c:pt>
                <c:pt idx="14">
                  <c:v>702.5</c:v>
                </c:pt>
                <c:pt idx="15">
                  <c:v>681.66666666666663</c:v>
                </c:pt>
                <c:pt idx="16">
                  <c:v>268.33333333333331</c:v>
                </c:pt>
                <c:pt idx="17">
                  <c:v>367.5</c:v>
                </c:pt>
                <c:pt idx="18">
                  <c:v>782.5</c:v>
                </c:pt>
                <c:pt idx="19">
                  <c:v>397.8</c:v>
                </c:pt>
                <c:pt idx="20">
                  <c:v>251</c:v>
                </c:pt>
                <c:pt idx="21">
                  <c:v>328</c:v>
                </c:pt>
                <c:pt idx="22">
                  <c:v>257.5</c:v>
                </c:pt>
                <c:pt idx="23">
                  <c:v>464.5</c:v>
                </c:pt>
                <c:pt idx="24">
                  <c:v>465.2</c:v>
                </c:pt>
                <c:pt idx="25">
                  <c:v>491</c:v>
                </c:pt>
                <c:pt idx="26">
                  <c:v>514.66666666666663</c:v>
                </c:pt>
                <c:pt idx="27">
                  <c:v>449.25</c:v>
                </c:pt>
                <c:pt idx="28">
                  <c:v>32</c:v>
                </c:pt>
                <c:pt idx="29">
                  <c:v>396.66666666666669</c:v>
                </c:pt>
                <c:pt idx="30">
                  <c:v>523.5</c:v>
                </c:pt>
                <c:pt idx="31">
                  <c:v>518.79999999999995</c:v>
                </c:pt>
              </c:numCache>
            </c:numRef>
          </c:val>
          <c:extLst>
            <c:ext xmlns:c16="http://schemas.microsoft.com/office/drawing/2014/chart" uri="{C3380CC4-5D6E-409C-BE32-E72D297353CC}">
              <c16:uniqueId val="{00000000-37EC-433D-AF55-F6F07EC70713}"/>
            </c:ext>
          </c:extLst>
        </c:ser>
        <c:dLbls>
          <c:showLegendKey val="0"/>
          <c:showVal val="0"/>
          <c:showCatName val="0"/>
          <c:showSerName val="0"/>
          <c:showPercent val="0"/>
          <c:showBubbleSize val="0"/>
        </c:dLbls>
        <c:gapWidth val="219"/>
        <c:overlap val="-27"/>
        <c:axId val="1687050095"/>
        <c:axId val="1687052495"/>
      </c:barChart>
      <c:catAx>
        <c:axId val="168705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87052495"/>
        <c:crosses val="autoZero"/>
        <c:auto val="1"/>
        <c:lblAlgn val="ctr"/>
        <c:lblOffset val="100"/>
        <c:noMultiLvlLbl val="0"/>
      </c:catAx>
      <c:valAx>
        <c:axId val="168705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8705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[products.xlsx]total stock per category!PivotTable2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Total Stock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stock per category'!$B$3</c:f>
              <c:strCache>
                <c:ptCount val="1"/>
                <c:pt idx="0">
                  <c:v>Total</c:v>
                </c:pt>
              </c:strCache>
            </c:strRef>
          </c:tx>
          <c:spPr>
            <a:ln w="28575" cap="rnd">
              <a:solidFill>
                <a:schemeClr val="accent1"/>
              </a:solidFill>
              <a:round/>
            </a:ln>
            <a:effectLst/>
          </c:spPr>
          <c:marker>
            <c:symbol val="none"/>
          </c:marker>
          <c:cat>
            <c:strRef>
              <c:f>'total stock per category'!$A$4:$A$37</c:f>
              <c:strCache>
                <c:ptCount val="33"/>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pt idx="32">
                  <c:v>(blank)</c:v>
                </c:pt>
              </c:strCache>
            </c:strRef>
          </c:cat>
          <c:val>
            <c:numRef>
              <c:f>'total stock per category'!$B$4:$B$37</c:f>
              <c:numCache>
                <c:formatCode>General</c:formatCode>
                <c:ptCount val="33"/>
                <c:pt idx="0">
                  <c:v>677</c:v>
                </c:pt>
                <c:pt idx="1">
                  <c:v>2970</c:v>
                </c:pt>
                <c:pt idx="2">
                  <c:v>2862</c:v>
                </c:pt>
                <c:pt idx="3">
                  <c:v>1919</c:v>
                </c:pt>
                <c:pt idx="4">
                  <c:v>2147</c:v>
                </c:pt>
                <c:pt idx="5">
                  <c:v>1096</c:v>
                </c:pt>
                <c:pt idx="6">
                  <c:v>664</c:v>
                </c:pt>
                <c:pt idx="7">
                  <c:v>3314</c:v>
                </c:pt>
                <c:pt idx="8">
                  <c:v>912</c:v>
                </c:pt>
                <c:pt idx="9">
                  <c:v>1104</c:v>
                </c:pt>
                <c:pt idx="10">
                  <c:v>802</c:v>
                </c:pt>
                <c:pt idx="11">
                  <c:v>2362</c:v>
                </c:pt>
                <c:pt idx="12">
                  <c:v>2032</c:v>
                </c:pt>
                <c:pt idx="13">
                  <c:v>679</c:v>
                </c:pt>
                <c:pt idx="14">
                  <c:v>1177</c:v>
                </c:pt>
                <c:pt idx="15">
                  <c:v>2082</c:v>
                </c:pt>
                <c:pt idx="16">
                  <c:v>3268</c:v>
                </c:pt>
                <c:pt idx="17">
                  <c:v>1160</c:v>
                </c:pt>
                <c:pt idx="18">
                  <c:v>493</c:v>
                </c:pt>
                <c:pt idx="19">
                  <c:v>3049</c:v>
                </c:pt>
                <c:pt idx="20">
                  <c:v>2572</c:v>
                </c:pt>
                <c:pt idx="21">
                  <c:v>2061</c:v>
                </c:pt>
                <c:pt idx="22">
                  <c:v>669</c:v>
                </c:pt>
                <c:pt idx="23">
                  <c:v>1396</c:v>
                </c:pt>
                <c:pt idx="24">
                  <c:v>2389</c:v>
                </c:pt>
                <c:pt idx="25">
                  <c:v>445</c:v>
                </c:pt>
                <c:pt idx="26">
                  <c:v>1625</c:v>
                </c:pt>
                <c:pt idx="27">
                  <c:v>2646</c:v>
                </c:pt>
                <c:pt idx="28">
                  <c:v>416</c:v>
                </c:pt>
                <c:pt idx="29">
                  <c:v>1936</c:v>
                </c:pt>
                <c:pt idx="30">
                  <c:v>993</c:v>
                </c:pt>
                <c:pt idx="31">
                  <c:v>2187</c:v>
                </c:pt>
                <c:pt idx="32">
                  <c:v>541.04</c:v>
                </c:pt>
              </c:numCache>
            </c:numRef>
          </c:val>
          <c:smooth val="0"/>
          <c:extLst>
            <c:ext xmlns:c16="http://schemas.microsoft.com/office/drawing/2014/chart" uri="{C3380CC4-5D6E-409C-BE32-E72D297353CC}">
              <c16:uniqueId val="{00000000-1F45-4EB0-97C5-401A574EFA0E}"/>
            </c:ext>
          </c:extLst>
        </c:ser>
        <c:dLbls>
          <c:showLegendKey val="0"/>
          <c:showVal val="0"/>
          <c:showCatName val="0"/>
          <c:showSerName val="0"/>
          <c:showPercent val="0"/>
          <c:showBubbleSize val="0"/>
        </c:dLbls>
        <c:smooth val="0"/>
        <c:axId val="1266065872"/>
        <c:axId val="1266064912"/>
      </c:lineChart>
      <c:catAx>
        <c:axId val="126606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6064912"/>
        <c:crosses val="autoZero"/>
        <c:auto val="1"/>
        <c:lblAlgn val="ctr"/>
        <c:lblOffset val="100"/>
        <c:noMultiLvlLbl val="0"/>
      </c:catAx>
      <c:valAx>
        <c:axId val="126606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606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[products.xlsx]Total inventory value per cat!PivotTable1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Inventory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64324366389692"/>
          <c:y val="0.18619242323218155"/>
          <c:w val="0.53056882712903264"/>
          <c:h val="0.73060646251173333"/>
        </c:manualLayout>
      </c:layout>
      <c:barChart>
        <c:barDir val="bar"/>
        <c:grouping val="clustered"/>
        <c:varyColors val="0"/>
        <c:ser>
          <c:idx val="0"/>
          <c:order val="0"/>
          <c:tx>
            <c:strRef>
              <c:f>'Total inventory value per cat'!$B$3</c:f>
              <c:strCache>
                <c:ptCount val="1"/>
                <c:pt idx="0">
                  <c:v>Total</c:v>
                </c:pt>
              </c:strCache>
            </c:strRef>
          </c:tx>
          <c:spPr>
            <a:solidFill>
              <a:schemeClr val="accent1"/>
            </a:solidFill>
            <a:ln>
              <a:noFill/>
            </a:ln>
            <a:effectLst/>
          </c:spPr>
          <c:invertIfNegative val="0"/>
          <c:cat>
            <c:strRef>
              <c:f>'Total inventory value per cat'!$A$4:$A$37</c:f>
              <c:strCache>
                <c:ptCount val="33"/>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pt idx="32">
                  <c:v>(blank)</c:v>
                </c:pt>
              </c:strCache>
            </c:strRef>
          </c:cat>
          <c:val>
            <c:numRef>
              <c:f>'Total inventory value per cat'!$B$4:$B$37</c:f>
              <c:numCache>
                <c:formatCode>General</c:formatCode>
                <c:ptCount val="33"/>
                <c:pt idx="0">
                  <c:v>139462</c:v>
                </c:pt>
                <c:pt idx="1">
                  <c:v>880948</c:v>
                </c:pt>
                <c:pt idx="2">
                  <c:v>854991</c:v>
                </c:pt>
                <c:pt idx="3">
                  <c:v>1110843</c:v>
                </c:pt>
                <c:pt idx="4">
                  <c:v>821837</c:v>
                </c:pt>
                <c:pt idx="5">
                  <c:v>479275</c:v>
                </c:pt>
                <c:pt idx="6">
                  <c:v>261748</c:v>
                </c:pt>
                <c:pt idx="7">
                  <c:v>1425491</c:v>
                </c:pt>
                <c:pt idx="8">
                  <c:v>782496</c:v>
                </c:pt>
                <c:pt idx="9">
                  <c:v>952757</c:v>
                </c:pt>
                <c:pt idx="10">
                  <c:v>80200</c:v>
                </c:pt>
                <c:pt idx="11">
                  <c:v>1594452</c:v>
                </c:pt>
                <c:pt idx="12">
                  <c:v>1002545</c:v>
                </c:pt>
                <c:pt idx="13">
                  <c:v>373407</c:v>
                </c:pt>
                <c:pt idx="14">
                  <c:v>814047</c:v>
                </c:pt>
                <c:pt idx="15">
                  <c:v>1460008</c:v>
                </c:pt>
                <c:pt idx="16">
                  <c:v>857113</c:v>
                </c:pt>
                <c:pt idx="17">
                  <c:v>532345</c:v>
                </c:pt>
                <c:pt idx="18">
                  <c:v>327365</c:v>
                </c:pt>
                <c:pt idx="19">
                  <c:v>1211123</c:v>
                </c:pt>
                <c:pt idx="20">
                  <c:v>657968</c:v>
                </c:pt>
                <c:pt idx="21">
                  <c:v>586793</c:v>
                </c:pt>
                <c:pt idx="22">
                  <c:v>103173</c:v>
                </c:pt>
                <c:pt idx="23">
                  <c:v>634967</c:v>
                </c:pt>
                <c:pt idx="24">
                  <c:v>1433073</c:v>
                </c:pt>
                <c:pt idx="25">
                  <c:v>215382</c:v>
                </c:pt>
                <c:pt idx="26">
                  <c:v>843548</c:v>
                </c:pt>
                <c:pt idx="27">
                  <c:v>1133480</c:v>
                </c:pt>
                <c:pt idx="28">
                  <c:v>11206</c:v>
                </c:pt>
                <c:pt idx="29">
                  <c:v>906085</c:v>
                </c:pt>
                <c:pt idx="30">
                  <c:v>589348</c:v>
                </c:pt>
                <c:pt idx="31">
                  <c:v>1341950</c:v>
                </c:pt>
                <c:pt idx="32">
                  <c:v>244194.26</c:v>
                </c:pt>
              </c:numCache>
            </c:numRef>
          </c:val>
          <c:extLst>
            <c:ext xmlns:c16="http://schemas.microsoft.com/office/drawing/2014/chart" uri="{C3380CC4-5D6E-409C-BE32-E72D297353CC}">
              <c16:uniqueId val="{00000000-FAB6-488E-B5BE-351FF5F75FA2}"/>
            </c:ext>
          </c:extLst>
        </c:ser>
        <c:dLbls>
          <c:showLegendKey val="0"/>
          <c:showVal val="0"/>
          <c:showCatName val="0"/>
          <c:showSerName val="0"/>
          <c:showPercent val="0"/>
          <c:showBubbleSize val="0"/>
        </c:dLbls>
        <c:gapWidth val="182"/>
        <c:axId val="1611227071"/>
        <c:axId val="1611220351"/>
      </c:barChart>
      <c:catAx>
        <c:axId val="161122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1220351"/>
        <c:crosses val="autoZero"/>
        <c:auto val="1"/>
        <c:lblAlgn val="ctr"/>
        <c:lblOffset val="100"/>
        <c:noMultiLvlLbl val="0"/>
      </c:catAx>
      <c:valAx>
        <c:axId val="1611220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122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[products.xlsx]Total price per category!PivotTable2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Total Price</a:t>
            </a:r>
            <a:endParaRPr lang="en-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price per category'!$B$3</c:f>
              <c:strCache>
                <c:ptCount val="1"/>
                <c:pt idx="0">
                  <c:v>Total</c:v>
                </c:pt>
              </c:strCache>
            </c:strRef>
          </c:tx>
          <c:spPr>
            <a:solidFill>
              <a:schemeClr val="accent1"/>
            </a:solidFill>
            <a:ln>
              <a:noFill/>
            </a:ln>
            <a:effectLst/>
          </c:spPr>
          <c:invertIfNegative val="0"/>
          <c:cat>
            <c:strRef>
              <c:f>'Total price per category'!$A$4:$A$36</c:f>
              <c:strCache>
                <c:ptCount val="32"/>
                <c:pt idx="0">
                  <c:v>Accessories (Bags, Hats, Belts)</c:v>
                </c:pt>
                <c:pt idx="1">
                  <c:v>Automotive</c:v>
                </c:pt>
                <c:pt idx="2">
                  <c:v>Beauty &amp; Personal Care</c:v>
                </c:pt>
                <c:pt idx="3">
                  <c:v>Bedding &amp; Bath</c:v>
                </c:pt>
                <c:pt idx="4">
                  <c:v>Books &amp; Stationery</c:v>
                </c:pt>
                <c:pt idx="5">
                  <c:v>Cameras &amp; Accessories</c:v>
                </c:pt>
                <c:pt idx="6">
                  <c:v>Camping &amp; Hiking</c:v>
                </c:pt>
                <c:pt idx="7">
                  <c:v>Cleaning Supplies</c:v>
                </c:pt>
                <c:pt idx="8">
                  <c:v>Clothing &amp; Apparel</c:v>
                </c:pt>
                <c:pt idx="9">
                  <c:v>Cycling</c:v>
                </c:pt>
                <c:pt idx="10">
                  <c:v>Fishing &amp; Hunting</c:v>
                </c:pt>
                <c:pt idx="11">
                  <c:v>Fitness Equipment</c:v>
                </c:pt>
                <c:pt idx="12">
                  <c:v>Fragrances</c:v>
                </c:pt>
                <c:pt idx="13">
                  <c:v>Furniture</c:v>
                </c:pt>
                <c:pt idx="14">
                  <c:v>Grooming Tools</c:v>
                </c:pt>
                <c:pt idx="15">
                  <c:v>Haircare</c:v>
                </c:pt>
                <c:pt idx="16">
                  <c:v>Health &amp; Wellness</c:v>
                </c:pt>
                <c:pt idx="17">
                  <c:v>Home &amp; Kitchen</c:v>
                </c:pt>
                <c:pt idx="18">
                  <c:v>Home Decor</c:v>
                </c:pt>
                <c:pt idx="19">
                  <c:v>Kids' Clothing</c:v>
                </c:pt>
                <c:pt idx="20">
                  <c:v>Kitchen Appliances</c:v>
                </c:pt>
                <c:pt idx="21">
                  <c:v>Laptops &amp; Computers</c:v>
                </c:pt>
                <c:pt idx="22">
                  <c:v>Makeup</c:v>
                </c:pt>
                <c:pt idx="23">
                  <c:v>Men's Clothing</c:v>
                </c:pt>
                <c:pt idx="24">
                  <c:v>Office Supplies</c:v>
                </c:pt>
                <c:pt idx="25">
                  <c:v>Shoes &amp; Footwear</c:v>
                </c:pt>
                <c:pt idx="26">
                  <c:v>Skincare</c:v>
                </c:pt>
                <c:pt idx="27">
                  <c:v>Smartphones</c:v>
                </c:pt>
                <c:pt idx="28">
                  <c:v>Smartwatches</c:v>
                </c:pt>
                <c:pt idx="29">
                  <c:v>Sports &amp; Outdoors</c:v>
                </c:pt>
                <c:pt idx="30">
                  <c:v>Team Sports</c:v>
                </c:pt>
                <c:pt idx="31">
                  <c:v>Women's Clothing</c:v>
                </c:pt>
              </c:strCache>
            </c:strRef>
          </c:cat>
          <c:val>
            <c:numRef>
              <c:f>'Total price per category'!$B$4:$B$36</c:f>
              <c:numCache>
                <c:formatCode>General</c:formatCode>
                <c:ptCount val="32"/>
                <c:pt idx="0">
                  <c:v>206</c:v>
                </c:pt>
                <c:pt idx="1">
                  <c:v>2530</c:v>
                </c:pt>
                <c:pt idx="2">
                  <c:v>1114</c:v>
                </c:pt>
                <c:pt idx="3">
                  <c:v>1812</c:v>
                </c:pt>
                <c:pt idx="4">
                  <c:v>1554</c:v>
                </c:pt>
                <c:pt idx="5">
                  <c:v>889</c:v>
                </c:pt>
                <c:pt idx="6">
                  <c:v>1838</c:v>
                </c:pt>
                <c:pt idx="7">
                  <c:v>2348</c:v>
                </c:pt>
                <c:pt idx="8">
                  <c:v>858</c:v>
                </c:pt>
                <c:pt idx="9">
                  <c:v>2398</c:v>
                </c:pt>
                <c:pt idx="10">
                  <c:v>100</c:v>
                </c:pt>
                <c:pt idx="11">
                  <c:v>2110</c:v>
                </c:pt>
                <c:pt idx="12">
                  <c:v>1910</c:v>
                </c:pt>
                <c:pt idx="13">
                  <c:v>1378</c:v>
                </c:pt>
                <c:pt idx="14">
                  <c:v>1405</c:v>
                </c:pt>
                <c:pt idx="15">
                  <c:v>2045</c:v>
                </c:pt>
                <c:pt idx="16">
                  <c:v>1610</c:v>
                </c:pt>
                <c:pt idx="17">
                  <c:v>735</c:v>
                </c:pt>
                <c:pt idx="18">
                  <c:v>1565</c:v>
                </c:pt>
                <c:pt idx="19">
                  <c:v>1989</c:v>
                </c:pt>
                <c:pt idx="20">
                  <c:v>753</c:v>
                </c:pt>
                <c:pt idx="21">
                  <c:v>984</c:v>
                </c:pt>
                <c:pt idx="22">
                  <c:v>515</c:v>
                </c:pt>
                <c:pt idx="23">
                  <c:v>929</c:v>
                </c:pt>
                <c:pt idx="24">
                  <c:v>2326</c:v>
                </c:pt>
                <c:pt idx="25">
                  <c:v>982</c:v>
                </c:pt>
                <c:pt idx="26">
                  <c:v>1544</c:v>
                </c:pt>
                <c:pt idx="27">
                  <c:v>1797</c:v>
                </c:pt>
                <c:pt idx="28">
                  <c:v>64</c:v>
                </c:pt>
                <c:pt idx="29">
                  <c:v>1190</c:v>
                </c:pt>
                <c:pt idx="30">
                  <c:v>1047</c:v>
                </c:pt>
                <c:pt idx="31">
                  <c:v>2594</c:v>
                </c:pt>
              </c:numCache>
            </c:numRef>
          </c:val>
          <c:extLst>
            <c:ext xmlns:c16="http://schemas.microsoft.com/office/drawing/2014/chart" uri="{C3380CC4-5D6E-409C-BE32-E72D297353CC}">
              <c16:uniqueId val="{00000000-5C80-44CA-B8F4-9486818EFCF1}"/>
            </c:ext>
          </c:extLst>
        </c:ser>
        <c:dLbls>
          <c:showLegendKey val="0"/>
          <c:showVal val="0"/>
          <c:showCatName val="0"/>
          <c:showSerName val="0"/>
          <c:showPercent val="0"/>
          <c:showBubbleSize val="0"/>
        </c:dLbls>
        <c:gapWidth val="219"/>
        <c:overlap val="-27"/>
        <c:axId val="462965168"/>
        <c:axId val="66921120"/>
      </c:barChart>
      <c:catAx>
        <c:axId val="46296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6921120"/>
        <c:crosses val="autoZero"/>
        <c:auto val="1"/>
        <c:lblAlgn val="ctr"/>
        <c:lblOffset val="100"/>
        <c:noMultiLvlLbl val="0"/>
      </c:catAx>
      <c:valAx>
        <c:axId val="6692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6296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Price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Price Distribution</a:t>
          </a:r>
        </a:p>
      </cx:txPr>
    </cx:title>
    <cx:plotArea>
      <cx:plotAreaRegion>
        <cx:series layoutId="clusteredColumn" uniqueId="{00000000-3244-4613-9A8F-2325D0DE3EC8}">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409574</xdr:colOff>
      <xdr:row>3</xdr:row>
      <xdr:rowOff>4761</xdr:rowOff>
    </xdr:from>
    <xdr:to>
      <xdr:col>12</xdr:col>
      <xdr:colOff>441157</xdr:colOff>
      <xdr:row>20</xdr:row>
      <xdr:rowOff>150394</xdr:rowOff>
    </xdr:to>
    <xdr:graphicFrame macro="">
      <xdr:nvGraphicFramePr>
        <xdr:cNvPr id="2" name="Chart 1">
          <a:extLst>
            <a:ext uri="{FF2B5EF4-FFF2-40B4-BE49-F238E27FC236}">
              <a16:creationId xmlns:a16="http://schemas.microsoft.com/office/drawing/2014/main" id="{A126E88F-D929-9C62-39A5-C1B1FF0EE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323850</xdr:colOff>
      <xdr:row>3</xdr:row>
      <xdr:rowOff>33337</xdr:rowOff>
    </xdr:from>
    <xdr:to>
      <xdr:col>15</xdr:col>
      <xdr:colOff>57150</xdr:colOff>
      <xdr:row>21</xdr:row>
      <xdr:rowOff>161925</xdr:rowOff>
    </xdr:to>
    <xdr:graphicFrame macro="">
      <xdr:nvGraphicFramePr>
        <xdr:cNvPr id="2" name="Chart 1">
          <a:extLst>
            <a:ext uri="{FF2B5EF4-FFF2-40B4-BE49-F238E27FC236}">
              <a16:creationId xmlns:a16="http://schemas.microsoft.com/office/drawing/2014/main" id="{2F004ED6-ED1F-B8E8-239E-C3897B9CE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225237</xdr:colOff>
      <xdr:row>2</xdr:row>
      <xdr:rowOff>103654</xdr:rowOff>
    </xdr:from>
    <xdr:to>
      <xdr:col>8</xdr:col>
      <xdr:colOff>238684</xdr:colOff>
      <xdr:row>16</xdr:row>
      <xdr:rowOff>103654</xdr:rowOff>
    </xdr:to>
    <mc:AlternateContent xmlns:mc="http://schemas.openxmlformats.org/markup-compatibility/2006" xmlns:a14="http://schemas.microsoft.com/office/drawing/2010/main">
      <mc:Choice Requires="a14">
        <xdr:graphicFrame macro="">
          <xdr:nvGraphicFramePr>
            <xdr:cNvPr id="3" name="Availability">
              <a:extLst>
                <a:ext uri="{FF2B5EF4-FFF2-40B4-BE49-F238E27FC236}">
                  <a16:creationId xmlns:a16="http://schemas.microsoft.com/office/drawing/2014/main" id="{3DE247A2-EEB8-3D17-0DF3-CCFEC0543ABC}"/>
                </a:ext>
              </a:extLst>
            </xdr:cNvPr>
            <xdr:cNvGraphicFramePr/>
          </xdr:nvGraphicFramePr>
          <xdr:xfrm>
            <a:off x="0" y="0"/>
            <a:ext cx="0" cy="0"/>
          </xdr:xfrm>
          <a:graphic>
            <a:graphicData uri="http://schemas.microsoft.com/office/drawing/2010/slicer">
              <sle:slicer xmlns:sle="http://schemas.microsoft.com/office/drawing/2010/slicer" name="Availability"/>
            </a:graphicData>
          </a:graphic>
        </xdr:graphicFrame>
      </mc:Choice>
      <mc:Fallback xmlns="">
        <xdr:sp macro="" textlink="">
          <xdr:nvSpPr>
            <xdr:cNvPr id="0" name=""/>
            <xdr:cNvSpPr>
              <a:spLocks noTextEdit="1"/>
            </xdr:cNvSpPr>
          </xdr:nvSpPr>
          <xdr:spPr>
            <a:xfrm>
              <a:off x="5245472" y="484654"/>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419100</xdr:colOff>
      <xdr:row>1</xdr:row>
      <xdr:rowOff>61912</xdr:rowOff>
    </xdr:from>
    <xdr:to>
      <xdr:col>15</xdr:col>
      <xdr:colOff>228600</xdr:colOff>
      <xdr:row>18</xdr:row>
      <xdr:rowOff>0</xdr:rowOff>
    </xdr:to>
    <xdr:graphicFrame macro="">
      <xdr:nvGraphicFramePr>
        <xdr:cNvPr id="2" name="Chart 1">
          <a:extLst>
            <a:ext uri="{FF2B5EF4-FFF2-40B4-BE49-F238E27FC236}">
              <a16:creationId xmlns:a16="http://schemas.microsoft.com/office/drawing/2014/main" id="{C390B2A6-FD87-73CF-2E26-66D55D3CD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409575</xdr:colOff>
      <xdr:row>6</xdr:row>
      <xdr:rowOff>80961</xdr:rowOff>
    </xdr:from>
    <xdr:to>
      <xdr:col>13</xdr:col>
      <xdr:colOff>248479</xdr:colOff>
      <xdr:row>44</xdr:row>
      <xdr:rowOff>32016</xdr:rowOff>
    </xdr:to>
    <xdr:graphicFrame macro="">
      <xdr:nvGraphicFramePr>
        <xdr:cNvPr id="2" name="Chart 1">
          <a:extLst>
            <a:ext uri="{FF2B5EF4-FFF2-40B4-BE49-F238E27FC236}">
              <a16:creationId xmlns:a16="http://schemas.microsoft.com/office/drawing/2014/main" id="{73F06A73-515A-9756-A054-DD55E771E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219075</xdr:colOff>
      <xdr:row>5</xdr:row>
      <xdr:rowOff>104775</xdr:rowOff>
    </xdr:from>
    <xdr:to>
      <xdr:col>7</xdr:col>
      <xdr:colOff>219075</xdr:colOff>
      <xdr:row>19</xdr:row>
      <xdr:rowOff>104775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858C6CFC-209F-D58B-D7CC-F030C7FD38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95825" y="105727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171450</xdr:colOff>
      <xdr:row>5</xdr:row>
      <xdr:rowOff>104775</xdr:rowOff>
    </xdr:from>
    <xdr:to>
      <xdr:col>7</xdr:col>
      <xdr:colOff>171450</xdr:colOff>
      <xdr:row>19</xdr:row>
      <xdr:rowOff>104775</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2D567017-9DE8-74D9-59B8-A6D51CA8EDC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695825" y="105727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400050</xdr:colOff>
      <xdr:row>1</xdr:row>
      <xdr:rowOff>123825</xdr:rowOff>
    </xdr:from>
    <xdr:to>
      <xdr:col>7</xdr:col>
      <xdr:colOff>400050</xdr:colOff>
      <xdr:row>15</xdr:row>
      <xdr:rowOff>123825</xdr:rowOff>
    </xdr:to>
    <mc:AlternateContent xmlns:mc="http://schemas.openxmlformats.org/markup-compatibility/2006" xmlns:a14="http://schemas.microsoft.com/office/drawing/2010/main">
      <mc:Choice Requires="a14">
        <xdr:graphicFrame macro="">
          <xdr:nvGraphicFramePr>
            <xdr:cNvPr id="2" name="Category 2">
              <a:extLst>
                <a:ext uri="{FF2B5EF4-FFF2-40B4-BE49-F238E27FC236}">
                  <a16:creationId xmlns:a16="http://schemas.microsoft.com/office/drawing/2014/main" id="{CFB66103-73AA-FE8A-1797-F55CD759FFE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5819775" y="31432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533400</xdr:colOff>
      <xdr:row>1</xdr:row>
      <xdr:rowOff>133350</xdr:rowOff>
    </xdr:from>
    <xdr:to>
      <xdr:col>10</xdr:col>
      <xdr:colOff>533400</xdr:colOff>
      <xdr:row>15</xdr:row>
      <xdr:rowOff>133350</xdr:rowOff>
    </xdr:to>
    <mc:AlternateContent xmlns:mc="http://schemas.openxmlformats.org/markup-compatibility/2006" xmlns:a14="http://schemas.microsoft.com/office/drawing/2010/main">
      <mc:Choice Requires="a14">
        <xdr:graphicFrame macro="">
          <xdr:nvGraphicFramePr>
            <xdr:cNvPr id="3" name="Sock Status">
              <a:extLst>
                <a:ext uri="{FF2B5EF4-FFF2-40B4-BE49-F238E27FC236}">
                  <a16:creationId xmlns:a16="http://schemas.microsoft.com/office/drawing/2014/main" id="{A6F25D2D-C135-D817-C75B-3D3AD4DE7E72}"/>
                </a:ext>
              </a:extLst>
            </xdr:cNvPr>
            <xdr:cNvGraphicFramePr/>
          </xdr:nvGraphicFramePr>
          <xdr:xfrm>
            <a:off x="0" y="0"/>
            <a:ext cx="0" cy="0"/>
          </xdr:xfrm>
          <a:graphic>
            <a:graphicData uri="http://schemas.microsoft.com/office/drawing/2010/slicer">
              <sle:slicer xmlns:sle="http://schemas.microsoft.com/office/drawing/2010/slicer" name="Sock Status"/>
            </a:graphicData>
          </a:graphic>
        </xdr:graphicFrame>
      </mc:Choice>
      <mc:Fallback xmlns="">
        <xdr:sp macro="" textlink="">
          <xdr:nvSpPr>
            <xdr:cNvPr id="0" name=""/>
            <xdr:cNvSpPr>
              <a:spLocks noTextEdit="1"/>
            </xdr:cNvSpPr>
          </xdr:nvSpPr>
          <xdr:spPr>
            <a:xfrm>
              <a:off x="7781925" y="323850"/>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xdr:row>
      <xdr:rowOff>19050</xdr:rowOff>
    </xdr:from>
    <xdr:to>
      <xdr:col>15</xdr:col>
      <xdr:colOff>0</xdr:colOff>
      <xdr:row>16</xdr:row>
      <xdr:rowOff>19050</xdr:rowOff>
    </xdr:to>
    <mc:AlternateContent xmlns:mc="http://schemas.openxmlformats.org/markup-compatibility/2006" xmlns:a14="http://schemas.microsoft.com/office/drawing/2010/main">
      <mc:Choice Requires="a14">
        <xdr:graphicFrame macro="">
          <xdr:nvGraphicFramePr>
            <xdr:cNvPr id="4" name="Inventory Val. Status">
              <a:extLst>
                <a:ext uri="{FF2B5EF4-FFF2-40B4-BE49-F238E27FC236}">
                  <a16:creationId xmlns:a16="http://schemas.microsoft.com/office/drawing/2014/main" id="{816FBF72-67D3-323C-F7CF-2B8445357E6F}"/>
                </a:ext>
              </a:extLst>
            </xdr:cNvPr>
            <xdr:cNvGraphicFramePr/>
          </xdr:nvGraphicFramePr>
          <xdr:xfrm>
            <a:off x="0" y="0"/>
            <a:ext cx="0" cy="0"/>
          </xdr:xfrm>
          <a:graphic>
            <a:graphicData uri="http://schemas.microsoft.com/office/drawing/2010/slicer">
              <sle:slicer xmlns:sle="http://schemas.microsoft.com/office/drawing/2010/slicer" name="Inventory Val. Status"/>
            </a:graphicData>
          </a:graphic>
        </xdr:graphicFrame>
      </mc:Choice>
      <mc:Fallback xmlns="">
        <xdr:sp macro="" textlink="">
          <xdr:nvSpPr>
            <xdr:cNvPr id="0" name=""/>
            <xdr:cNvSpPr>
              <a:spLocks noTextEdit="1"/>
            </xdr:cNvSpPr>
          </xdr:nvSpPr>
          <xdr:spPr>
            <a:xfrm>
              <a:off x="10296525" y="400050"/>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51635</xdr:colOff>
      <xdr:row>17</xdr:row>
      <xdr:rowOff>145633</xdr:rowOff>
    </xdr:to>
    <xdr:graphicFrame macro="">
      <xdr:nvGraphicFramePr>
        <xdr:cNvPr id="2" name="Chart 1">
          <a:extLst>
            <a:ext uri="{FF2B5EF4-FFF2-40B4-BE49-F238E27FC236}">
              <a16:creationId xmlns:a16="http://schemas.microsoft.com/office/drawing/2014/main" id="{47B6F849-50A7-4973-A352-D97BAE520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580793</xdr:colOff>
      <xdr:row>0</xdr:row>
      <xdr:rowOff>0</xdr:rowOff>
    </xdr:from>
    <xdr:to>
      <xdr:col>22</xdr:col>
      <xdr:colOff>381000</xdr:colOff>
      <xdr:row>19</xdr:row>
      <xdr:rowOff>26368</xdr:rowOff>
    </xdr:to>
    <xdr:graphicFrame macro="">
      <xdr:nvGraphicFramePr>
        <xdr:cNvPr id="3" name="Chart 2">
          <a:extLst>
            <a:ext uri="{FF2B5EF4-FFF2-40B4-BE49-F238E27FC236}">
              <a16:creationId xmlns:a16="http://schemas.microsoft.com/office/drawing/2014/main" id="{7E48C6FB-34E5-4843-AAC0-CADBE6E17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162622</xdr:colOff>
      <xdr:row>20</xdr:row>
      <xdr:rowOff>58081</xdr:rowOff>
    </xdr:from>
    <xdr:to>
      <xdr:col>22</xdr:col>
      <xdr:colOff>76523</xdr:colOff>
      <xdr:row>43</xdr:row>
      <xdr:rowOff>174238</xdr:rowOff>
    </xdr:to>
    <xdr:graphicFrame macro="">
      <xdr:nvGraphicFramePr>
        <xdr:cNvPr id="5" name="Chart 4">
          <a:extLst>
            <a:ext uri="{FF2B5EF4-FFF2-40B4-BE49-F238E27FC236}">
              <a16:creationId xmlns:a16="http://schemas.microsoft.com/office/drawing/2014/main" id="{80D29E4F-2548-4B50-94E9-7E1B871B5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224161</xdr:colOff>
      <xdr:row>20</xdr:row>
      <xdr:rowOff>122090</xdr:rowOff>
    </xdr:from>
    <xdr:to>
      <xdr:col>9</xdr:col>
      <xdr:colOff>367333</xdr:colOff>
      <xdr:row>39</xdr:row>
      <xdr:rowOff>31022</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4B824D8-AC98-4F67-8FE7-DB90A8D321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24161" y="3932090"/>
              <a:ext cx="5629572" cy="3528432"/>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182393</xdr:colOff>
      <xdr:row>0</xdr:row>
      <xdr:rowOff>162127</xdr:rowOff>
    </xdr:from>
    <xdr:to>
      <xdr:col>34</xdr:col>
      <xdr:colOff>9727</xdr:colOff>
      <xdr:row>18</xdr:row>
      <xdr:rowOff>55630</xdr:rowOff>
    </xdr:to>
    <xdr:graphicFrame macro="">
      <xdr:nvGraphicFramePr>
        <xdr:cNvPr id="7" name="Chart 6">
          <a:extLst>
            <a:ext uri="{FF2B5EF4-FFF2-40B4-BE49-F238E27FC236}">
              <a16:creationId xmlns:a16="http://schemas.microsoft.com/office/drawing/2014/main" id="{FCD100B4-3B2C-40A8-91EC-CEE544D45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miposi" refreshedDate="46160.569938310182" createdVersion="8" refreshedVersion="8" minRefreshableVersion="3" recordCount="101" xr:uid="{A4638AB3-867E-421B-BCD6-1249BC3964D7}">
  <cacheSource type="worksheet">
    <worksheetSource name="products"/>
  </cacheSource>
  <cacheFields count="22">
    <cacheField name="Index" numFmtId="0">
      <sharedItems containsString="0" containsBlank="1" containsNumber="1" containsInteger="1" minValue="1" maxValue="100"/>
    </cacheField>
    <cacheField name="Name" numFmtId="0">
      <sharedItems containsBlank="1"/>
    </cacheField>
    <cacheField name="Brand" numFmtId="0">
      <sharedItems containsBlank="1" count="101">
        <s v="Hester, Love and Lynch"/>
        <s v="Barker-Murphy"/>
        <s v="Castro-Mccarty"/>
        <s v="Morrow and Sons"/>
        <s v="Contreras PLC"/>
        <s v="Burton PLC"/>
        <s v="Elliott, Mcfarland and Duran"/>
        <s v="Shepherd, Greene and House"/>
        <s v="Blake, Weiss and Montgomery"/>
        <s v="Odonnell, Boyle and Oconnor"/>
        <s v="Shea Ltd"/>
        <s v="Carney Ltd"/>
        <s v="Hebert, Hughes and Trujillo"/>
        <s v="Singleton PLC"/>
        <s v="Lowe, Mosley and Rivera"/>
        <s v="Kaiser-Banks"/>
        <s v="TechPro"/>
        <s v="Pace-Hodges"/>
        <s v="Whitney Group"/>
        <s v="Bauer Inc"/>
        <s v="Rivas Group"/>
        <s v="Lewis Ltd"/>
        <s v="Bell, Gamble and Barrett"/>
        <s v="Hanson-Schultz"/>
        <s v="Pruitt, Higgins and Barnett"/>
        <s v="West Ltd"/>
        <s v="Vazquez and Sons"/>
        <s v="Juarez, Powell and Travis"/>
        <s v="Ali-Oliver"/>
        <s v="Wang, Ayala and Bowen"/>
        <s v="Henry Group"/>
        <s v="Khan-Parrish"/>
        <s v="Kennedy-Gordon"/>
        <s v="Delgado-Blackwell"/>
        <s v="May, Hendrix and Robbins"/>
        <s v="Huff, Cameron and Stephenson"/>
        <s v="Decker and Sons"/>
        <s v="Brennan, Archer and Rosales"/>
        <s v="Mooney-Gonzales"/>
        <s v="Terry-Oliver"/>
        <s v="Bonilla-Oconnell"/>
        <s v="Cowan Inc"/>
        <s v="Larson-Spence"/>
        <s v="Jackson Group"/>
        <s v="Sexton, Dickerson and Blair"/>
        <s v="Douglas, Thornton and Soto"/>
        <s v="Burton, Gross and Giles"/>
        <s v="Williamson PLC"/>
        <s v="Maldonado-Ritter"/>
        <s v="Horn-Pope"/>
        <s v="Suarez, Riddle and Sanders"/>
        <s v="Werner PLC"/>
        <s v="Russo-West"/>
        <s v="Vazquez-Smith"/>
        <s v="Nichols, Howe and Miller"/>
        <s v="Hull Inc"/>
        <s v="Sampson-Leon"/>
        <s v="Levine, Martin and Mccann"/>
        <s v="Mahoney-Bryan"/>
        <s v="Newman Ltd"/>
        <s v="Irwin LLC"/>
        <s v="Bonilla-Spears"/>
        <s v="Barnes-Glass"/>
        <s v="Olsen-Sawyer"/>
        <s v="Lawson, Keller and Winters"/>
        <s v="Harrington-Valentine"/>
        <s v="Gallagher and Sons"/>
        <s v="Atkinson Inc"/>
        <s v="Mccoy, Waters and Rose"/>
        <s v="Christian-Tanner"/>
        <s v="Decker, Montes and Logan"/>
        <s v="George-Day"/>
        <s v="Stokes Inc"/>
        <s v="Schwartz Ltd"/>
        <s v="Zimmerman, Barr and Davis"/>
        <s v="Barron-Little"/>
        <s v="Cervantes Ltd"/>
        <s v="Gill LLC"/>
        <s v="Brooks and Sons"/>
        <s v="Mueller Inc"/>
        <s v="Novak, Archer and Walton"/>
        <s v="Benjamin, Nelson and Hancock"/>
        <s v="Edwards, Odonnell and Conley"/>
        <s v="Gallegos, Osborne and Carpenter"/>
        <s v="Morales, Weaver and Fernandez"/>
        <s v="Munoz Group"/>
        <s v="Bray LLC"/>
        <s v="Hays-Cunningham"/>
        <s v="Barry PLC"/>
        <s v="Fleming Inc"/>
        <s v="Love LLC"/>
        <s v="Meyers-Hess"/>
        <s v="Blair-Russell"/>
        <s v="Reid, Chase and Ballard"/>
        <s v="Malone, Jacobson and Hudson"/>
        <s v="Frost, Christensen and Burnett"/>
        <s v="Wang-Valenzuela"/>
        <s v="Marshall-Dougherty"/>
        <s v="Morris LLC"/>
        <s v="Galloway and Sons"/>
        <m/>
      </sharedItems>
    </cacheField>
    <cacheField name="Category" numFmtId="0">
      <sharedItems containsBlank="1" count="33">
        <s v="Accessories (Bags, Hats, Belts)"/>
        <s v="Automotive"/>
        <s v="Beauty &amp; Personal Care"/>
        <s v="Bedding &amp; Bath"/>
        <s v="Books &amp; Stationery"/>
        <s v="Cameras &amp; Accessories"/>
        <s v="Camping &amp; Hiking"/>
        <s v="Cleaning Supplies"/>
        <s v="Clothing &amp; Apparel"/>
        <s v="Cycling"/>
        <s v="Fishing &amp; Hunting"/>
        <s v="Fitness Equipment"/>
        <s v="Fragrances"/>
        <s v="Furniture"/>
        <s v="Grooming Tools"/>
        <s v="Haircare"/>
        <s v="Health &amp; Wellness"/>
        <s v="Home &amp; Kitchen"/>
        <s v="Home Decor"/>
        <s v="Kids' Clothing"/>
        <s v="Kitchen Appliances"/>
        <s v="Laptops &amp; Computers"/>
        <s v="Makeup"/>
        <s v="Men's Clothing"/>
        <s v="Office Supplies"/>
        <s v="Shoes &amp; Footwear"/>
        <s v="Skincare"/>
        <s v="Smartphones"/>
        <s v="Smartwatches"/>
        <s v="Sports &amp; Outdoors"/>
        <s v="Team Sports"/>
        <s v="Women's Clothing"/>
        <m/>
      </sharedItems>
    </cacheField>
    <cacheField name="Price" numFmtId="0">
      <sharedItems containsString="0" containsBlank="1" containsNumber="1" containsInteger="1" minValue="1" maxValue="999"/>
    </cacheField>
    <cacheField name="Currency" numFmtId="0">
      <sharedItems containsBlank="1"/>
    </cacheField>
    <cacheField name="Stock" numFmtId="0">
      <sharedItems containsSemiMixedTypes="0" containsString="0" containsNumber="1" minValue="10" maxValue="998"/>
    </cacheField>
    <cacheField name="EAN" numFmtId="0">
      <sharedItems containsString="0" containsBlank="1" containsNumber="1" containsInteger="1" minValue="524638185" maxValue="9921752342730"/>
    </cacheField>
    <cacheField name="Color" numFmtId="0">
      <sharedItems containsBlank="1"/>
    </cacheField>
    <cacheField name="Size" numFmtId="0">
      <sharedItems containsBlank="1"/>
    </cacheField>
    <cacheField name="Availability" numFmtId="0">
      <sharedItems containsBlank="1" count="7">
        <s v="discontinued"/>
        <s v="out_of_stock"/>
        <s v="pre_order"/>
        <s v="backorder"/>
        <s v="limited_stock"/>
        <s v="in_stock"/>
        <m/>
      </sharedItems>
    </cacheField>
    <cacheField name="Internal ID" numFmtId="0">
      <sharedItems containsString="0" containsBlank="1" containsNumber="1" containsInteger="1" minValue="3" maxValue="99"/>
    </cacheField>
    <cacheField name="Adjusted" numFmtId="0">
      <sharedItems/>
    </cacheField>
    <cacheField name="Stock Outliers" numFmtId="0">
      <sharedItems/>
    </cacheField>
    <cacheField name="Category Group" numFmtId="0">
      <sharedItems containsMixedTypes="1" containsNumber="1" containsInteger="1" minValue="0" maxValue="0" count="2">
        <s v="Other"/>
        <n v="0"/>
      </sharedItems>
    </cacheField>
    <cacheField name="Inventory value" numFmtId="0">
      <sharedItems containsSemiMixedTypes="0" containsString="0" containsNumber="1" minValue="925" maxValue="852147"/>
    </cacheField>
    <cacheField name="Price Outliers" numFmtId="0">
      <sharedItems containsBlank="1"/>
    </cacheField>
    <cacheField name="Sock Status" numFmtId="0">
      <sharedItems containsBlank="1" count="3">
        <s v="High"/>
        <s v="Low"/>
        <m/>
      </sharedItems>
    </cacheField>
    <cacheField name="Inventory Val. Status" numFmtId="0">
      <sharedItems containsBlank="1" count="3">
        <s v="Low"/>
        <s v="High"/>
        <m/>
      </sharedItems>
    </cacheField>
    <cacheField name="Numeric Inv. Status" numFmtId="0">
      <sharedItems containsString="0" containsBlank="1" containsNumber="1" containsInteger="1" minValue="0" maxValue="1"/>
    </cacheField>
    <cacheField name="Numeric Price Outlier " numFmtId="0">
      <sharedItems containsString="0" containsBlank="1" containsNumber="1" containsInteger="1" minValue="0" maxValue="1"/>
    </cacheField>
    <cacheField name="CHS" numFmtId="0">
      <sharedItems containsSemiMixedTypes="0" containsString="0" containsNumber="1" minValue="0" maxValue="1" count="9">
        <n v="0.4"/>
        <n v="0.6"/>
        <n v="0.79999999999999993"/>
        <n v="0"/>
        <n v="0.60000000000000009"/>
        <n v="0.2"/>
        <n v="0.8"/>
        <n v="1"/>
        <n v="0.41000000000000014"/>
      </sharedItems>
    </cacheField>
  </cacheFields>
  <extLst>
    <ext xmlns:x14="http://schemas.microsoft.com/office/spreadsheetml/2009/9/main" uri="{725AE2AE-9491-48be-B2B4-4EB974FC3084}">
      <x14:pivotCacheDefinition pivotCacheId="18547328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omiposi" refreshedDate="46175.59133171296" backgroundQuery="1" createdVersion="8" refreshedVersion="8" minRefreshableVersion="3" recordCount="0" supportSubquery="1" supportAdvancedDrill="1" xr:uid="{C13C5C15-2AC8-494F-BBCB-44A4620F7F7B}">
  <cacheSource type="external" connectionId="2"/>
  <cacheFields count="2">
    <cacheField name="[Measures].[Sum of Price]" caption="Sum of Price" numFmtId="0" hierarchy="20" level="32767"/>
    <cacheField name="[products].[Category].[Category]" caption="Category" numFmtId="0" hierarchy="4" level="1">
      <sharedItems count="32">
        <s v="Accessories (Bags, Hats, Belts)"/>
        <s v="Automotive"/>
        <s v="Beauty &amp; Personal Care"/>
        <s v="Bedding &amp; Bath"/>
        <s v="Books &amp; Stationery"/>
        <s v="Cameras &amp; Accessories"/>
        <s v="Camping &amp; Hiking"/>
        <s v="Cleaning Supplies"/>
        <s v="Clothing &amp; Apparel"/>
        <s v="Cycling"/>
        <s v="Fishing &amp; Hunting"/>
        <s v="Fitness Equipment"/>
        <s v="Fragrances"/>
        <s v="Furniture"/>
        <s v="Grooming Tools"/>
        <s v="Haircare"/>
        <s v="Health &amp; Wellness"/>
        <s v="Home &amp; Kitchen"/>
        <s v="Home Decor"/>
        <s v="Kids' Clothing"/>
        <s v="Kitchen Appliances"/>
        <s v="Laptops &amp; Computers"/>
        <s v="Makeup"/>
        <s v="Men's Clothing"/>
        <s v="Office Supplies"/>
        <s v="Shoes &amp; Footwear"/>
        <s v="Skincare"/>
        <s v="Smartphones"/>
        <s v="Smartwatches"/>
        <s v="Sports &amp; Outdoors"/>
        <s v="Team Sports"/>
        <s v="Women's Clothing"/>
      </sharedItems>
    </cacheField>
  </cacheFields>
  <cacheHierarchies count="21">
    <cacheHierarchy uniqueName="[products].[Index]" caption="Index" attribute="1" defaultMemberUniqueName="[products].[Index].[All]" allUniqueName="[products].[Index].[All]" dimensionUniqueName="[products]" displayFolder="" count="0" memberValueDatatype="20" unbalanced="0"/>
    <cacheHierarchy uniqueName="[products].[Name]" caption="Name" attribute="1" defaultMemberUniqueName="[products].[Name].[All]" allUniqueName="[products].[Name].[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20" unbalanced="0"/>
    <cacheHierarchy uniqueName="[products].[Currency]" caption="Currency" attribute="1" defaultMemberUniqueName="[products].[Currency].[All]" allUniqueName="[products].[Currency].[All]" dimensionUniqueName="[products]" displayFolder="" count="0" memberValueDatatype="130" unbalanced="0"/>
    <cacheHierarchy uniqueName="[products].[Stock]" caption="Stock" attribute="1" defaultMemberUniqueName="[products].[Stock].[All]" allUniqueName="[products].[Stock].[All]" dimensionUniqueName="[products]" displayFolder="" count="0" memberValueDatatype="20" unbalanced="0"/>
    <cacheHierarchy uniqueName="[products].[EAN]" caption="EAN" attribute="1" defaultMemberUniqueName="[products].[EAN].[All]" allUniqueName="[products].[EAN].[All]" dimensionUniqueName="[products]" displayFolder="" count="0" memberValueDatatype="5" unbalanced="0"/>
    <cacheHierarchy uniqueName="[products].[Color]" caption="Color" attribute="1" defaultMemberUniqueName="[products].[Color].[All]" allUniqueName="[products].[Col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Availability]" caption="Availability" attribute="1" defaultMemberUniqueName="[products].[Availability].[All]" allUniqueName="[products].[Availability].[All]" dimensionUniqueName="[products]" displayFolder="" count="0" memberValueDatatype="130" unbalanced="0"/>
    <cacheHierarchy uniqueName="[products].[Internal ID]" caption="Internal ID" attribute="1" defaultMemberUniqueName="[products].[Internal ID].[All]" allUniqueName="[products].[Internal ID].[All]" dimensionUniqueName="[products]" displayFolder="" count="0" memberValueDatatype="20" unbalanced="0"/>
    <cacheHierarchy uniqueName="[products].[Adjusted]" caption="Adjusted" attribute="1" defaultMemberUniqueName="[products].[Adjusted].[All]" allUniqueName="[products].[Adjusted].[All]" dimensionUniqueName="[products]" displayFolder="" count="0" memberValueDatatype="130" unbalanced="0"/>
    <cacheHierarchy uniqueName="[products].[Stock status]" caption="Stock status" attribute="1" defaultMemberUniqueName="[products].[Stock status].[All]" allUniqueName="[products].[Stock status].[All]" dimensionUniqueName="[products]" displayFolder="" count="0" memberValueDatatype="130" unbalanced="0"/>
    <cacheHierarchy uniqueName="[products].[Price2]" caption="Price2" attribute="1" defaultMemberUniqueName="[products].[Price2].[All]" allUniqueName="[products].[Price2].[All]" dimensionUniqueName="[products]" displayFolder="" count="0" memberValueDatatype="130" unbalanced="0"/>
    <cacheHierarchy uniqueName="[products].[Category Group]" caption="Category Group" attribute="1" defaultMemberUniqueName="[products].[Category Group].[All]" allUniqueName="[products].[Category Group].[All]" dimensionUniqueName="[products]" displayFolder="" count="2" memberValueDatatype="130" unbalanced="0"/>
    <cacheHierarchy uniqueName="[products].[Column1]" caption="Column1" attribute="1" defaultMemberUniqueName="[products].[Column1].[All]" allUniqueName="[products].[Column1].[All]" dimensionUniqueName="[products]" displayFolder="" count="0" memberValueDatatype="20" unbalanced="0"/>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products"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roducts" uniqueName="[products]" caption="products"/>
  </dimensions>
  <measureGroups count="1">
    <measureGroup name="products" caption="produc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n v="68"/>
    <s v="Thermostat Trimmer"/>
    <x v="0"/>
    <x v="0"/>
    <n v="206"/>
    <s v="USD"/>
    <n v="677"/>
    <n v="8282848236311"/>
    <s v="MidnightBlue"/>
    <s v="8x10 in"/>
    <x v="0"/>
    <n v="6"/>
    <s v="S"/>
    <s v="NULL"/>
    <x v="0"/>
    <n v="139462"/>
    <s v="NULL"/>
    <x v="0"/>
    <x v="0"/>
    <n v="0"/>
    <n v="0"/>
    <x v="0"/>
  </r>
  <r>
    <n v="17"/>
    <s v="Eco Iron Monitor Air"/>
    <x v="1"/>
    <x v="1"/>
    <n v="982"/>
    <s v="USD"/>
    <n v="47"/>
    <n v="7887280730963"/>
    <s v="OliveDrab"/>
    <s v="XL"/>
    <x v="1"/>
    <n v="79"/>
    <s v="XL"/>
    <s v="Low"/>
    <x v="0"/>
    <n v="46154"/>
    <s v="High Outlier"/>
    <x v="1"/>
    <x v="0"/>
    <n v="0"/>
    <n v="1"/>
    <x v="1"/>
  </r>
  <r>
    <n v="80"/>
    <s v="Rechargeable Brush Compact"/>
    <x v="2"/>
    <x v="1"/>
    <n v="748"/>
    <s v="USD"/>
    <n v="326"/>
    <n v="6855062072649"/>
    <s v="Sienna"/>
    <s v="S"/>
    <x v="1"/>
    <n v="81"/>
    <s v="S"/>
    <s v="Medium"/>
    <x v="0"/>
    <n v="243848"/>
    <s v="Medium Outlier"/>
    <x v="1"/>
    <x v="0"/>
    <n v="0"/>
    <n v="0"/>
    <x v="0"/>
  </r>
  <r>
    <n v="8"/>
    <s v="Webcam Stove Grill"/>
    <x v="3"/>
    <x v="1"/>
    <n v="159"/>
    <s v="USD"/>
    <n v="584"/>
    <n v="9883725074294"/>
    <s v="MediumOrchid"/>
    <s v="8x10 in"/>
    <x v="2"/>
    <n v="50"/>
    <s v="S"/>
    <s v="Medium"/>
    <x v="0"/>
    <n v="92856"/>
    <s v="Medium Outlier"/>
    <x v="0"/>
    <x v="0"/>
    <n v="0"/>
    <n v="0"/>
    <x v="0"/>
  </r>
  <r>
    <n v="14"/>
    <s v="Smart Trimmer Webcam Heater"/>
    <x v="4"/>
    <x v="1"/>
    <n v="279"/>
    <s v="USD"/>
    <n v="818"/>
    <n v="1941032767914"/>
    <s v="Gainsboro"/>
    <s v="XXL"/>
    <x v="2"/>
    <n v="66"/>
    <s v="XXL"/>
    <s v="High"/>
    <x v="0"/>
    <n v="228222"/>
    <s v="Medium Outlier"/>
    <x v="0"/>
    <x v="0"/>
    <n v="0"/>
    <n v="0"/>
    <x v="0"/>
  </r>
  <r>
    <n v="27"/>
    <s v="Portable Freezer Phone Automatic Smart"/>
    <x v="5"/>
    <x v="1"/>
    <n v="350"/>
    <s v="USD"/>
    <n v="756"/>
    <n v="3486711401836"/>
    <s v="Snow"/>
    <s v="XL"/>
    <x v="2"/>
    <n v="61"/>
    <s v="XL"/>
    <s v="Medium"/>
    <x v="0"/>
    <n v="264600"/>
    <s v="Medium Outlier"/>
    <x v="0"/>
    <x v="1"/>
    <n v="1"/>
    <n v="0"/>
    <x v="2"/>
  </r>
  <r>
    <n v="71"/>
    <s v="Premium Lock Mini Advanced"/>
    <x v="6"/>
    <x v="1"/>
    <n v="12"/>
    <s v="USD"/>
    <n v="439"/>
    <n v="3997003361528"/>
    <s v="Plum"/>
    <s v="XS"/>
    <x v="2"/>
    <n v="40"/>
    <s v="XS"/>
    <s v="Medium"/>
    <x v="0"/>
    <n v="5268"/>
    <s v="Low Outlier"/>
    <x v="1"/>
    <x v="0"/>
    <n v="0"/>
    <n v="0"/>
    <x v="0"/>
  </r>
  <r>
    <n v="69"/>
    <s v="Clean Iron Premium Air Wireless"/>
    <x v="7"/>
    <x v="2"/>
    <n v="293"/>
    <s v="USD"/>
    <n v="700"/>
    <n v="7935749142557"/>
    <s v="GhostWhite"/>
    <s v="XXL"/>
    <x v="1"/>
    <n v="5"/>
    <s v="XXL"/>
    <s v="Medium"/>
    <x v="0"/>
    <n v="205100"/>
    <s v="Medium Outlier"/>
    <x v="0"/>
    <x v="0"/>
    <n v="0"/>
    <n v="0"/>
    <x v="3"/>
  </r>
  <r>
    <n v="53"/>
    <s v="Tablet"/>
    <x v="8"/>
    <x v="2"/>
    <n v="408"/>
    <s v="USD"/>
    <n v="922"/>
    <n v="8183313115592"/>
    <s v="Chocolate"/>
    <s v="Medium"/>
    <x v="3"/>
    <n v="34"/>
    <s v="M"/>
    <s v="High"/>
    <x v="0"/>
    <n v="376176"/>
    <s v="High Outlier"/>
    <x v="0"/>
    <x v="1"/>
    <n v="1"/>
    <n v="1"/>
    <x v="4"/>
  </r>
  <r>
    <n v="63"/>
    <s v="Automatic Cooler Edge"/>
    <x v="9"/>
    <x v="2"/>
    <n v="124"/>
    <s v="USD"/>
    <n v="513"/>
    <n v="6261793125392"/>
    <s v="LimeGreen"/>
    <s v="50x70 cm"/>
    <x v="2"/>
    <n v="83"/>
    <s v="L"/>
    <s v="Low"/>
    <x v="0"/>
    <n v="63612"/>
    <s v="Low Outlier"/>
    <x v="1"/>
    <x v="0"/>
    <n v="0"/>
    <n v="0"/>
    <x v="3"/>
  </r>
  <r>
    <n v="97"/>
    <s v="Fast Thermostat Microphone Scooter"/>
    <x v="10"/>
    <x v="2"/>
    <n v="289"/>
    <s v="USD"/>
    <n v="727"/>
    <n v="9265397743935"/>
    <s v="White"/>
    <s v="Extra Large"/>
    <x v="3"/>
    <n v="25"/>
    <s v="XL"/>
    <s v="Medium"/>
    <x v="0"/>
    <n v="210103"/>
    <s v="Medium Outlier"/>
    <x v="0"/>
    <x v="0"/>
    <n v="0"/>
    <n v="0"/>
    <x v="3"/>
  </r>
  <r>
    <n v="22"/>
    <s v="Wireless Powerbank 360 Advanced Ultra"/>
    <x v="11"/>
    <x v="3"/>
    <n v="677"/>
    <s v="USD"/>
    <n v="418"/>
    <n v="3918763032312"/>
    <s v="Beige"/>
    <s v="M"/>
    <x v="1"/>
    <n v="90"/>
    <s v="M"/>
    <s v="Medium"/>
    <x v="0"/>
    <n v="282986"/>
    <s v="Medium Outlier"/>
    <x v="1"/>
    <x v="1"/>
    <n v="1"/>
    <n v="0"/>
    <x v="2"/>
  </r>
  <r>
    <n v="100"/>
    <s v="Smart Lamp"/>
    <x v="12"/>
    <x v="3"/>
    <n v="71"/>
    <s v="USD"/>
    <n v="51"/>
    <n v="8264263605712"/>
    <s v="Brown"/>
    <s v="Medium"/>
    <x v="4"/>
    <n v="3"/>
    <s v="M"/>
    <s v="Low"/>
    <x v="0"/>
    <n v="3621"/>
    <s v="Low Outlier"/>
    <x v="1"/>
    <x v="0"/>
    <n v="0"/>
    <n v="0"/>
    <x v="0"/>
  </r>
  <r>
    <n v="54"/>
    <s v="Wireless Light Toaster Lite Touch Eco"/>
    <x v="13"/>
    <x v="3"/>
    <n v="791"/>
    <s v="USD"/>
    <n v="827"/>
    <n v="3057639268476"/>
    <s v="Fuchsia"/>
    <s v="50x70 cm"/>
    <x v="5"/>
    <n v="64"/>
    <s v="L"/>
    <s v="High"/>
    <x v="0"/>
    <n v="654157"/>
    <s v="Medium Outlier"/>
    <x v="0"/>
    <x v="1"/>
    <n v="1"/>
    <n v="0"/>
    <x v="2"/>
  </r>
  <r>
    <n v="78"/>
    <s v="Brush"/>
    <x v="14"/>
    <x v="3"/>
    <n v="273"/>
    <s v="USD"/>
    <n v="623"/>
    <n v="168419438521"/>
    <s v="RoyalBlue"/>
    <s v="S"/>
    <x v="5"/>
    <n v="42"/>
    <s v="S"/>
    <s v="Medium"/>
    <x v="0"/>
    <n v="170079"/>
    <s v="Medium Outlier"/>
    <x v="0"/>
    <x v="0"/>
    <n v="0"/>
    <n v="0"/>
    <x v="0"/>
  </r>
  <r>
    <n v="84"/>
    <s v="Wireless Fan Thermostat Max Automatic Max"/>
    <x v="15"/>
    <x v="4"/>
    <n v="423"/>
    <s v="USD"/>
    <n v="759"/>
    <n v="1396411470228"/>
    <s v="MidnightBlue"/>
    <s v="5x7 in"/>
    <x v="5"/>
    <n v="81"/>
    <s v="XS"/>
    <s v="Medium"/>
    <x v="0"/>
    <n v="321057"/>
    <s v="Medium Outlier"/>
    <x v="0"/>
    <x v="1"/>
    <n v="1"/>
    <n v="0"/>
    <x v="1"/>
  </r>
  <r>
    <n v="1"/>
    <s v="Compact Printer Air Advanced Digital"/>
    <x v="16"/>
    <x v="4"/>
    <n v="265"/>
    <s v="USD"/>
    <n v="774"/>
    <n v="2091465262179"/>
    <s v="ForestGreen"/>
    <s v="S "/>
    <x v="2"/>
    <n v="56"/>
    <s v="S"/>
    <s v="Medium"/>
    <x v="0"/>
    <n v="205110"/>
    <s v="Low Outlier"/>
    <x v="0"/>
    <x v="0"/>
    <n v="0"/>
    <n v="0"/>
    <x v="5"/>
  </r>
  <r>
    <n v="57"/>
    <s v="Ultra Keyboard Compact Eco"/>
    <x v="17"/>
    <x v="4"/>
    <n v="514"/>
    <s v="USD"/>
    <n v="491"/>
    <n v="8481605893389"/>
    <s v="LightGray"/>
    <s v="8x10 in"/>
    <x v="3"/>
    <n v="19"/>
    <s v="S"/>
    <s v="Medium"/>
    <x v="0"/>
    <n v="252374"/>
    <s v="High Outlier"/>
    <x v="1"/>
    <x v="1"/>
    <n v="1"/>
    <n v="1"/>
    <x v="6"/>
  </r>
  <r>
    <n v="82"/>
    <s v="Mini Drone X Portable"/>
    <x v="18"/>
    <x v="4"/>
    <n v="352"/>
    <s v="USD"/>
    <n v="123"/>
    <n v="9437200314292"/>
    <s v="BlueViolet"/>
    <s v="Medium"/>
    <x v="3"/>
    <n v="12"/>
    <s v="M"/>
    <s v="Low"/>
    <x v="0"/>
    <n v="43296"/>
    <s v="Medium Outlier"/>
    <x v="1"/>
    <x v="0"/>
    <n v="0"/>
    <n v="0"/>
    <x v="5"/>
  </r>
  <r>
    <n v="92"/>
    <s v="Portable Scooter Wireless Digital"/>
    <x v="19"/>
    <x v="5"/>
    <n v="519"/>
    <s v="USD"/>
    <n v="495"/>
    <n v="4564280934296"/>
    <s v="DeepSkyBlue"/>
    <s v="Large"/>
    <x v="5"/>
    <n v="36"/>
    <s v="L"/>
    <s v="Medium"/>
    <x v="0"/>
    <n v="256905"/>
    <s v="Medium Outlier"/>
    <x v="1"/>
    <x v="1"/>
    <n v="1"/>
    <n v="0"/>
    <x v="0"/>
  </r>
  <r>
    <n v="55"/>
    <s v="Scooter"/>
    <x v="20"/>
    <x v="5"/>
    <n v="370"/>
    <s v="USD"/>
    <n v="601"/>
    <n v="1974896712011"/>
    <s v="DarkOrchid"/>
    <s v="L"/>
    <x v="3"/>
    <n v="46"/>
    <s v="L"/>
    <s v="Medium"/>
    <x v="0"/>
    <n v="222370"/>
    <s v="Medium Outlier"/>
    <x v="0"/>
    <x v="0"/>
    <n v="0"/>
    <n v="0"/>
    <x v="3"/>
  </r>
  <r>
    <n v="85"/>
    <s v="Fast Keyboard"/>
    <x v="21"/>
    <x v="6"/>
    <n v="998"/>
    <s v="USD"/>
    <n v="10"/>
    <n v="3163238295239"/>
    <s v="Cyan"/>
    <s v="50x70 cm"/>
    <x v="4"/>
    <n v="64"/>
    <s v="L"/>
    <s v="Low"/>
    <x v="0"/>
    <n v="9980"/>
    <s v="High Outlier"/>
    <x v="1"/>
    <x v="0"/>
    <n v="0"/>
    <n v="1"/>
    <x v="1"/>
  </r>
  <r>
    <n v="99"/>
    <s v="Clean Blender Scale Lite"/>
    <x v="22"/>
    <x v="6"/>
    <n v="241"/>
    <s v="USD"/>
    <n v="391"/>
    <n v="3893594435450"/>
    <s v="Aquamarine"/>
    <s v="5x7 in"/>
    <x v="4"/>
    <n v="5"/>
    <s v="XS"/>
    <s v="Medium"/>
    <x v="0"/>
    <n v="94231"/>
    <s v="Medium Outlier"/>
    <x v="1"/>
    <x v="0"/>
    <n v="0"/>
    <n v="0"/>
    <x v="0"/>
  </r>
  <r>
    <n v="47"/>
    <s v="Portable Powerbank X Air"/>
    <x v="23"/>
    <x v="6"/>
    <n v="599"/>
    <s v="USD"/>
    <n v="263"/>
    <n v="6854117854742"/>
    <s v="Moccasin"/>
    <s v="Large"/>
    <x v="0"/>
    <n v="17"/>
    <s v="L"/>
    <s v="Medium"/>
    <x v="0"/>
    <n v="157537"/>
    <s v="Medium Outlier"/>
    <x v="1"/>
    <x v="0"/>
    <n v="0"/>
    <n v="0"/>
    <x v="0"/>
  </r>
  <r>
    <n v="19"/>
    <s v="Eco Freezer Powerbank Watch"/>
    <x v="24"/>
    <x v="7"/>
    <n v="340"/>
    <s v="USD"/>
    <n v="618"/>
    <n v="6340907128242"/>
    <s v="Cyan"/>
    <s v="S"/>
    <x v="4"/>
    <n v="21"/>
    <s v="S"/>
    <s v="Medium"/>
    <x v="0"/>
    <n v="210120"/>
    <s v="Medium Outlier"/>
    <x v="0"/>
    <x v="0"/>
    <n v="0"/>
    <n v="0"/>
    <x v="0"/>
  </r>
  <r>
    <n v="98"/>
    <s v="Eco Heater Toaster Stove Silent Sense"/>
    <x v="25"/>
    <x v="7"/>
    <n v="232"/>
    <s v="USD"/>
    <n v="998"/>
    <n v="5505866454530"/>
    <s v="OldLace"/>
    <s v="Small"/>
    <x v="4"/>
    <n v="20"/>
    <s v="S"/>
    <s v="High"/>
    <x v="0"/>
    <n v="231536"/>
    <s v="Medium Outlier"/>
    <x v="0"/>
    <x v="0"/>
    <n v="0"/>
    <n v="0"/>
    <x v="0"/>
  </r>
  <r>
    <n v="12"/>
    <s v="Fast Camera Router Fan Smart"/>
    <x v="26"/>
    <x v="7"/>
    <n v="221"/>
    <s v="USD"/>
    <n v="672"/>
    <n v="8567222480604"/>
    <s v="MidnightBlue"/>
    <s v="Medium"/>
    <x v="2"/>
    <n v="32"/>
    <s v="M"/>
    <s v="Medium"/>
    <x v="0"/>
    <n v="148512"/>
    <s v="Medium Outlier"/>
    <x v="0"/>
    <x v="0"/>
    <n v="0"/>
    <n v="0"/>
    <x v="0"/>
  </r>
  <r>
    <n v="15"/>
    <s v="Webcam Dock Heater"/>
    <x v="27"/>
    <x v="7"/>
    <n v="101"/>
    <s v="USD"/>
    <n v="159"/>
    <n v="1438856474369"/>
    <s v="Sienna"/>
    <s v="30x40 cm"/>
    <x v="2"/>
    <n v="88"/>
    <s v="M"/>
    <s v="Low"/>
    <x v="0"/>
    <n v="16059"/>
    <s v="Medium Outlier"/>
    <x v="1"/>
    <x v="0"/>
    <n v="0"/>
    <n v="0"/>
    <x v="0"/>
  </r>
  <r>
    <n v="62"/>
    <s v="Fast Fan"/>
    <x v="28"/>
    <x v="7"/>
    <n v="982"/>
    <s v="USD"/>
    <n v="804"/>
    <n v="3388615003133"/>
    <s v="DarkOrchid"/>
    <s v="100x200 mm"/>
    <x v="3"/>
    <n v="70"/>
    <s v="XL"/>
    <s v="Medium"/>
    <x v="0"/>
    <n v="789528"/>
    <s v="High Outlier"/>
    <x v="0"/>
    <x v="1"/>
    <n v="1"/>
    <n v="1"/>
    <x v="7"/>
  </r>
  <r>
    <n v="94"/>
    <s v="Scanner"/>
    <x v="29"/>
    <x v="7"/>
    <n v="472"/>
    <s v="USD"/>
    <n v="63"/>
    <n v="7794860625802"/>
    <s v="ForestGreen"/>
    <s v="12x18 in"/>
    <x v="3"/>
    <n v="8"/>
    <s v="XXL"/>
    <s v="Low"/>
    <x v="0"/>
    <n v="29736"/>
    <s v="Medium Outlier"/>
    <x v="1"/>
    <x v="0"/>
    <n v="0"/>
    <n v="0"/>
    <x v="0"/>
  </r>
  <r>
    <n v="28"/>
    <s v="Wireless Webcam Stove Grill"/>
    <x v="30"/>
    <x v="8"/>
    <n v="858"/>
    <s v="USD"/>
    <n v="912"/>
    <n v="7097613907430"/>
    <s v="LightSalmon"/>
    <s v="50x70 cm"/>
    <x v="4"/>
    <n v="43"/>
    <s v="L"/>
    <s v="NULL"/>
    <x v="0"/>
    <n v="782496"/>
    <s v="NULL"/>
    <x v="0"/>
    <x v="1"/>
    <n v="1"/>
    <n v="0"/>
    <x v="2"/>
  </r>
  <r>
    <n v="26"/>
    <s v="Mini Iron Drone Wireless Pro"/>
    <x v="31"/>
    <x v="9"/>
    <n v="909"/>
    <s v="USD"/>
    <n v="797"/>
    <n v="9496081864722"/>
    <s v="CadetBlue"/>
    <s v="XXL"/>
    <x v="4"/>
    <n v="93"/>
    <s v="XXL"/>
    <s v="High"/>
    <x v="0"/>
    <n v="724473"/>
    <s v="Medium Outlier"/>
    <x v="0"/>
    <x v="1"/>
    <n v="1"/>
    <n v="0"/>
    <x v="1"/>
  </r>
  <r>
    <n v="76"/>
    <s v="Rechargeable Webcam Dock Heater"/>
    <x v="32"/>
    <x v="9"/>
    <n v="800"/>
    <s v="USD"/>
    <n v="151"/>
    <n v="1340784358003"/>
    <s v="Brown"/>
    <s v="XXL"/>
    <x v="5"/>
    <n v="66"/>
    <s v="XXL"/>
    <s v="Medium"/>
    <x v="0"/>
    <n v="120800"/>
    <s v="Medium Outlier"/>
    <x v="1"/>
    <x v="0"/>
    <n v="0"/>
    <n v="0"/>
    <x v="5"/>
  </r>
  <r>
    <n v="13"/>
    <s v="Heater Radio"/>
    <x v="33"/>
    <x v="9"/>
    <n v="689"/>
    <s v="USD"/>
    <n v="156"/>
    <n v="5686660235911"/>
    <s v="Orange"/>
    <s v="L"/>
    <x v="2"/>
    <n v="57"/>
    <s v="L"/>
    <s v="Medium"/>
    <x v="0"/>
    <n v="107484"/>
    <s v="Low Outlier"/>
    <x v="1"/>
    <x v="0"/>
    <n v="0"/>
    <n v="0"/>
    <x v="5"/>
  </r>
  <r>
    <n v="41"/>
    <s v="Silent Dock Fast"/>
    <x v="34"/>
    <x v="10"/>
    <n v="100"/>
    <s v="USD"/>
    <n v="802"/>
    <n v="938364240247"/>
    <s v="CadetBlue"/>
    <s v="M"/>
    <x v="4"/>
    <n v="12"/>
    <s v="M"/>
    <s v="NULL"/>
    <x v="0"/>
    <n v="80200"/>
    <s v="NULL"/>
    <x v="0"/>
    <x v="0"/>
    <n v="0"/>
    <n v="0"/>
    <x v="0"/>
  </r>
  <r>
    <n v="45"/>
    <s v="Smart Grill Tablet Fridge Go Smart Smart"/>
    <x v="35"/>
    <x v="11"/>
    <n v="488"/>
    <s v="USD"/>
    <n v="966"/>
    <n v="9005775281402"/>
    <s v="Cornsilk"/>
    <s v="10x10 cm"/>
    <x v="1"/>
    <n v="62"/>
    <s v="Other"/>
    <s v="Medium"/>
    <x v="0"/>
    <n v="471408"/>
    <s v="Low Outlier"/>
    <x v="0"/>
    <x v="1"/>
    <n v="1"/>
    <n v="0"/>
    <x v="0"/>
  </r>
  <r>
    <n v="51"/>
    <s v="Mini Fridge Camera"/>
    <x v="36"/>
    <x v="11"/>
    <n v="777"/>
    <s v="USD"/>
    <n v="832"/>
    <n v="4894233116968"/>
    <s v="PaleGoldenRod"/>
    <s v="Extra Large"/>
    <x v="5"/>
    <n v="16"/>
    <s v="XL"/>
    <s v="Medium"/>
    <x v="0"/>
    <n v="646464"/>
    <s v="Medium Outlier"/>
    <x v="0"/>
    <x v="1"/>
    <n v="1"/>
    <n v="0"/>
    <x v="0"/>
  </r>
  <r>
    <n v="10"/>
    <s v="Ultra Powerbank Brush Charger Max"/>
    <x v="37"/>
    <x v="11"/>
    <n v="845"/>
    <s v="USD"/>
    <n v="564"/>
    <n v="4877111475333"/>
    <s v="Silver"/>
    <s v="Extra Large"/>
    <x v="0"/>
    <n v="88"/>
    <s v="XL"/>
    <s v="Low"/>
    <x v="0"/>
    <n v="476580"/>
    <s v="Medium Outlier"/>
    <x v="0"/>
    <x v="1"/>
    <n v="1"/>
    <n v="0"/>
    <x v="0"/>
  </r>
  <r>
    <n v="52"/>
    <s v="Rechargeable Tablet Plus Portable Mini"/>
    <x v="38"/>
    <x v="12"/>
    <n v="820"/>
    <s v="USD"/>
    <n v="535"/>
    <n v="8183922928019"/>
    <s v="Cyan"/>
    <s v="100x200 mm"/>
    <x v="5"/>
    <n v="19"/>
    <s v="XL"/>
    <s v="Medium"/>
    <x v="0"/>
    <n v="438700"/>
    <s v="High Outlier"/>
    <x v="0"/>
    <x v="1"/>
    <n v="1"/>
    <n v="1"/>
    <x v="4"/>
  </r>
  <r>
    <n v="32"/>
    <s v="Wireless Scooter Clean Mini"/>
    <x v="39"/>
    <x v="12"/>
    <n v="283"/>
    <s v="USD"/>
    <n v="343"/>
    <n v="9921752342730"/>
    <s v="MintCream"/>
    <s v="S"/>
    <x v="2"/>
    <n v="84"/>
    <s v="S"/>
    <s v="Low"/>
    <x v="0"/>
    <n v="97069"/>
    <s v="Medium Outlier"/>
    <x v="1"/>
    <x v="0"/>
    <n v="0"/>
    <n v="0"/>
    <x v="3"/>
  </r>
  <r>
    <n v="50"/>
    <s v="Ultra Cooler Treadmill Touch Pro Ultra"/>
    <x v="40"/>
    <x v="12"/>
    <n v="214"/>
    <s v="USD"/>
    <n v="574"/>
    <n v="3625664059934"/>
    <s v="NavajoWhite"/>
    <s v="XXL"/>
    <x v="2"/>
    <n v="33"/>
    <s v="XXL"/>
    <s v="Medium"/>
    <x v="0"/>
    <n v="122836"/>
    <s v="Medium Outlier"/>
    <x v="0"/>
    <x v="0"/>
    <n v="0"/>
    <n v="0"/>
    <x v="3"/>
  </r>
  <r>
    <n v="87"/>
    <s v="Silent Speakerphone Scanner Monitor"/>
    <x v="41"/>
    <x v="12"/>
    <n v="593"/>
    <s v="USD"/>
    <n v="580"/>
    <n v="1710131812265"/>
    <s v="Navy"/>
    <s v="XXL"/>
    <x v="0"/>
    <n v="20"/>
    <s v="XXL"/>
    <s v="Medium"/>
    <x v="0"/>
    <n v="343940"/>
    <s v="Medium Outlier"/>
    <x v="0"/>
    <x v="1"/>
    <n v="1"/>
    <n v="0"/>
    <x v="0"/>
  </r>
  <r>
    <n v="29"/>
    <s v="Clock Brush"/>
    <x v="42"/>
    <x v="13"/>
    <n v="985"/>
    <s v="USD"/>
    <n v="180"/>
    <n v="8301096575048"/>
    <s v="SaddleBrown"/>
    <s v="Extra Large"/>
    <x v="5"/>
    <n v="40"/>
    <s v="XL"/>
    <s v="Medium"/>
    <x v="0"/>
    <n v="177300"/>
    <s v="Medium Outlier"/>
    <x v="1"/>
    <x v="0"/>
    <n v="0"/>
    <n v="0"/>
    <x v="0"/>
  </r>
  <r>
    <n v="93"/>
    <s v="Fridge Cooker"/>
    <x v="43"/>
    <x v="13"/>
    <n v="393"/>
    <s v="USD"/>
    <n v="499"/>
    <n v="1861389468671"/>
    <s v="Black"/>
    <s v="Small"/>
    <x v="5"/>
    <n v="80"/>
    <s v="S"/>
    <s v="Medium"/>
    <x v="0"/>
    <n v="196107"/>
    <s v="Medium Outlier"/>
    <x v="1"/>
    <x v="0"/>
    <n v="0"/>
    <n v="0"/>
    <x v="0"/>
  </r>
  <r>
    <n v="60"/>
    <s v="Automatic Speaker Router Lamp Prime"/>
    <x v="44"/>
    <x v="14"/>
    <n v="621"/>
    <s v="USD"/>
    <n v="667"/>
    <n v="6744198567221"/>
    <s v="FireBrick"/>
    <s v="5x7 in"/>
    <x v="5"/>
    <n v="61"/>
    <s v="XS"/>
    <s v="Medium"/>
    <x v="0"/>
    <n v="414207"/>
    <s v="Medium Outlier"/>
    <x v="0"/>
    <x v="1"/>
    <n v="1"/>
    <n v="0"/>
    <x v="0"/>
  </r>
  <r>
    <n v="24"/>
    <s v="Mini Scooter Microphone"/>
    <x v="45"/>
    <x v="14"/>
    <n v="784"/>
    <s v="USD"/>
    <n v="510"/>
    <n v="9839666739792"/>
    <s v="DimGray"/>
    <s v="L"/>
    <x v="3"/>
    <n v="55"/>
    <s v="L"/>
    <s v="Medium"/>
    <x v="0"/>
    <n v="399840"/>
    <s v="Medium Outlier"/>
    <x v="0"/>
    <x v="1"/>
    <n v="1"/>
    <n v="0"/>
    <x v="0"/>
  </r>
  <r>
    <n v="67"/>
    <s v="Mini Charger Lock Oven Sense Sense"/>
    <x v="46"/>
    <x v="15"/>
    <n v="750"/>
    <s v="USD"/>
    <n v="623"/>
    <n v="9282813513019"/>
    <s v="Olive"/>
    <s v="12x18 in"/>
    <x v="5"/>
    <n v="81"/>
    <s v="XXL"/>
    <s v="Medium"/>
    <x v="0"/>
    <n v="467250"/>
    <s v="Medium Outlier"/>
    <x v="0"/>
    <x v="1"/>
    <n v="1"/>
    <n v="0"/>
    <x v="0"/>
  </r>
  <r>
    <n v="40"/>
    <s v="Clean Printer Advanced Premium Sense"/>
    <x v="47"/>
    <x v="15"/>
    <n v="913"/>
    <s v="USD"/>
    <n v="820"/>
    <n v="5234087663802"/>
    <s v="Moccasin"/>
    <s v="Small"/>
    <x v="0"/>
    <n v="77"/>
    <s v="S"/>
    <s v="High"/>
    <x v="0"/>
    <n v="748660"/>
    <s v="Medium Outlier"/>
    <x v="0"/>
    <x v="1"/>
    <n v="1"/>
    <n v="0"/>
    <x v="0"/>
  </r>
  <r>
    <n v="95"/>
    <s v="Ultra Radio Radio"/>
    <x v="48"/>
    <x v="15"/>
    <n v="382"/>
    <s v="USD"/>
    <n v="639"/>
    <n v="3611080124547"/>
    <s v="Aquamarine"/>
    <s v="12x18 in"/>
    <x v="2"/>
    <n v="48"/>
    <s v="XXL"/>
    <s v="Medium"/>
    <x v="0"/>
    <n v="244098"/>
    <s v="Low Outlier"/>
    <x v="0"/>
    <x v="1"/>
    <n v="1"/>
    <n v="0"/>
    <x v="0"/>
  </r>
  <r>
    <n v="25"/>
    <s v="Rechargeable Webcam Stove Grill"/>
    <x v="49"/>
    <x v="16"/>
    <n v="900"/>
    <s v="USD"/>
    <n v="623"/>
    <n v="6501687247749"/>
    <s v="PaleGreen"/>
    <s v="5x7 in"/>
    <x v="1"/>
    <n v="47"/>
    <s v="XS"/>
    <s v="Medium"/>
    <x v="0"/>
    <n v="560700"/>
    <s v="High Outlier"/>
    <x v="0"/>
    <x v="1"/>
    <n v="1"/>
    <n v="1"/>
    <x v="6"/>
  </r>
  <r>
    <n v="46"/>
    <s v="Digital Stove Silent Pro"/>
    <x v="50"/>
    <x v="16"/>
    <n v="161"/>
    <s v="USD"/>
    <n v="349"/>
    <n v="5367012957872"/>
    <s v="OrangeRed"/>
    <s v="Extra Large"/>
    <x v="4"/>
    <n v="9"/>
    <s v="XL"/>
    <s v="Medium"/>
    <x v="0"/>
    <n v="56189"/>
    <s v="Medium Outlier"/>
    <x v="1"/>
    <x v="0"/>
    <n v="0"/>
    <n v="0"/>
    <x v="5"/>
  </r>
  <r>
    <n v="44"/>
    <s v="Eco Vacuum"/>
    <x v="51"/>
    <x v="16"/>
    <n v="259"/>
    <s v="USD"/>
    <n v="668"/>
    <n v="8611986118980"/>
    <s v="LightCoral"/>
    <s v="5x7 in"/>
    <x v="5"/>
    <n v="45"/>
    <s v="XS"/>
    <s v="Medium"/>
    <x v="0"/>
    <n v="173012"/>
    <s v="Medium Outlier"/>
    <x v="0"/>
    <x v="0"/>
    <n v="0"/>
    <n v="0"/>
    <x v="5"/>
  </r>
  <r>
    <n v="11"/>
    <s v="Wireless Dock"/>
    <x v="52"/>
    <x v="16"/>
    <n v="257"/>
    <s v="USD"/>
    <n v="168"/>
    <n v="9680811891595"/>
    <s v="Wheat"/>
    <s v="Extra Large"/>
    <x v="2"/>
    <n v="30"/>
    <s v="XL"/>
    <s v="Low"/>
    <x v="0"/>
    <n v="43176"/>
    <s v="Medium Outlier"/>
    <x v="1"/>
    <x v="0"/>
    <n v="0"/>
    <n v="0"/>
    <x v="5"/>
  </r>
  <r>
    <n v="18"/>
    <s v="Digital Tablet Router Printer Lite"/>
    <x v="53"/>
    <x v="16"/>
    <n v="3"/>
    <s v="USD"/>
    <n v="732"/>
    <n v="4170125892616"/>
    <s v="LemonChiffon"/>
    <s v="10x10 cm"/>
    <x v="3"/>
    <n v="87"/>
    <s v="Other"/>
    <s v="Medium"/>
    <x v="0"/>
    <n v="2196"/>
    <s v="Medium Outlier"/>
    <x v="0"/>
    <x v="0"/>
    <n v="0"/>
    <n v="0"/>
    <x v="5"/>
  </r>
  <r>
    <n v="88"/>
    <s v="Silent Scanner Monitor Treadmill"/>
    <x v="54"/>
    <x v="16"/>
    <n v="30"/>
    <s v="USD"/>
    <n v="728"/>
    <n v="1287056757693"/>
    <s v="Wheat"/>
    <s v="10x10 cm"/>
    <x v="2"/>
    <n v="60"/>
    <s v="Other"/>
    <s v="Medium"/>
    <x v="0"/>
    <n v="21840"/>
    <s v="Medium Outlier"/>
    <x v="0"/>
    <x v="0"/>
    <n v="0"/>
    <n v="0"/>
    <x v="5"/>
  </r>
  <r>
    <n v="73"/>
    <s v="Compact Thermostat Oven"/>
    <x v="55"/>
    <x v="17"/>
    <n v="685"/>
    <s v="USD"/>
    <n v="747"/>
    <n v="7695934105636"/>
    <s v="SaddleBrown"/>
    <s v="30x40 cm"/>
    <x v="5"/>
    <n v="36"/>
    <s v="M"/>
    <s v="Medium"/>
    <x v="0"/>
    <n v="511695"/>
    <s v="Medium Outlier"/>
    <x v="0"/>
    <x v="1"/>
    <n v="1"/>
    <n v="0"/>
    <x v="1"/>
  </r>
  <r>
    <n v="79"/>
    <s v="Portable Kettle"/>
    <x v="56"/>
    <x v="17"/>
    <n v="50"/>
    <s v="USD"/>
    <n v="413"/>
    <n v="445370808496"/>
    <s v="MediumAquaMarine"/>
    <s v="L"/>
    <x v="2"/>
    <n v="25"/>
    <s v="L"/>
    <s v="Medium"/>
    <x v="0"/>
    <n v="20650"/>
    <s v="Medium Outlier"/>
    <x v="1"/>
    <x v="0"/>
    <n v="0"/>
    <n v="0"/>
    <x v="5"/>
  </r>
  <r>
    <n v="43"/>
    <s v="Rechargeable Projector Pro"/>
    <x v="57"/>
    <x v="18"/>
    <n v="935"/>
    <s v="USD"/>
    <n v="55"/>
    <n v="655296358115"/>
    <s v="SlateBlue"/>
    <s v="XL"/>
    <x v="4"/>
    <n v="52"/>
    <s v="XL"/>
    <s v="Medium"/>
    <x v="0"/>
    <n v="51425"/>
    <s v="Medium Outlier"/>
    <x v="1"/>
    <x v="0"/>
    <n v="0"/>
    <n v="0"/>
    <x v="5"/>
  </r>
  <r>
    <n v="75"/>
    <s v="Automatic Blender"/>
    <x v="58"/>
    <x v="18"/>
    <n v="630"/>
    <s v="USD"/>
    <n v="438"/>
    <n v="310774792552"/>
    <s v="LightGoldenRodYellow"/>
    <s v="8x10 in"/>
    <x v="3"/>
    <n v="4"/>
    <s v="S"/>
    <s v="Medium"/>
    <x v="0"/>
    <n v="275940"/>
    <s v="Medium Outlier"/>
    <x v="1"/>
    <x v="1"/>
    <n v="1"/>
    <n v="0"/>
    <x v="1"/>
  </r>
  <r>
    <n v="34"/>
    <s v="Automatic Brush Fast Eco"/>
    <x v="59"/>
    <x v="19"/>
    <n v="407"/>
    <s v="USD"/>
    <n v="285"/>
    <n v="2327483415120"/>
    <s v="SeaGreen"/>
    <s v="8x10 in"/>
    <x v="1"/>
    <n v="65"/>
    <s v="S"/>
    <s v="Medium"/>
    <x v="0"/>
    <n v="115995"/>
    <s v="Medium Outlier"/>
    <x v="1"/>
    <x v="0"/>
    <n v="0"/>
    <n v="0"/>
    <x v="0"/>
  </r>
  <r>
    <n v="5"/>
    <s v="Portable Mouse Monitor Phone"/>
    <x v="60"/>
    <x v="19"/>
    <n v="1"/>
    <s v="USD"/>
    <n v="925"/>
    <n v="9055773261265"/>
    <s v="SeaShell"/>
    <s v="100x200 mm"/>
    <x v="0"/>
    <n v="10"/>
    <s v="XL"/>
    <s v="Medium"/>
    <x v="0"/>
    <n v="925"/>
    <s v="Low Outlier"/>
    <x v="0"/>
    <x v="0"/>
    <n v="0"/>
    <n v="0"/>
    <x v="0"/>
  </r>
  <r>
    <n v="30"/>
    <s v="Keyboard Toaster Monitor"/>
    <x v="61"/>
    <x v="19"/>
    <n v="576"/>
    <s v="USD"/>
    <n v="988"/>
    <n v="6639325474032"/>
    <s v="DarkSlateGray"/>
    <s v="L"/>
    <x v="2"/>
    <n v="40"/>
    <s v="L"/>
    <s v="Medium"/>
    <x v="0"/>
    <n v="569088"/>
    <s v="Medium Outlier"/>
    <x v="0"/>
    <x v="1"/>
    <n v="1"/>
    <n v="0"/>
    <x v="2"/>
  </r>
  <r>
    <n v="38"/>
    <s v="Ultra Dock Trimmer Automatic Edge"/>
    <x v="62"/>
    <x v="19"/>
    <n v="640"/>
    <s v="USD"/>
    <n v="780"/>
    <n v="2837107354495"/>
    <s v="LightBlue"/>
    <s v="5x7 in"/>
    <x v="0"/>
    <n v="96"/>
    <s v="XS"/>
    <s v="Medium"/>
    <x v="0"/>
    <n v="499200"/>
    <s v="Medium Outlier"/>
    <x v="0"/>
    <x v="1"/>
    <n v="1"/>
    <n v="0"/>
    <x v="2"/>
  </r>
  <r>
    <n v="77"/>
    <s v="Clean Toaster Oven Air Touch"/>
    <x v="63"/>
    <x v="19"/>
    <n v="365"/>
    <s v="USD"/>
    <n v="71"/>
    <n v="7806787405877"/>
    <s v="LimeGreen"/>
    <s v="Medium"/>
    <x v="2"/>
    <n v="40"/>
    <s v="M"/>
    <s v="Low"/>
    <x v="0"/>
    <n v="25915"/>
    <s v="Medium Outlier"/>
    <x v="1"/>
    <x v="0"/>
    <n v="0"/>
    <n v="0"/>
    <x v="0"/>
  </r>
  <r>
    <n v="3"/>
    <s v="Smart Blender Cooker"/>
    <x v="64"/>
    <x v="20"/>
    <n v="227"/>
    <s v="USD"/>
    <n v="726"/>
    <n v="1282898648918"/>
    <s v="SlateGray"/>
    <s v="XS"/>
    <x v="5"/>
    <n v="70"/>
    <s v="XS"/>
    <s v="Low"/>
    <x v="0"/>
    <n v="164802"/>
    <s v="Medium Outlier"/>
    <x v="0"/>
    <x v="0"/>
    <n v="0"/>
    <n v="0"/>
    <x v="5"/>
  </r>
  <r>
    <n v="91"/>
    <s v="Automatic Trimmer Sense"/>
    <x v="65"/>
    <x v="20"/>
    <n v="405"/>
    <s v="USD"/>
    <n v="950"/>
    <n v="524638185"/>
    <s v="SlateGray"/>
    <s v="8x10 in"/>
    <x v="5"/>
    <n v="85"/>
    <s v="S"/>
    <s v="Medium"/>
    <x v="0"/>
    <n v="384750"/>
    <s v="High Outlier"/>
    <x v="0"/>
    <x v="1"/>
    <n v="1"/>
    <n v="1"/>
    <x v="6"/>
  </r>
  <r>
    <n v="4"/>
    <s v="Advanced Router Rechargeable"/>
    <x v="66"/>
    <x v="20"/>
    <n v="121"/>
    <s v="USD"/>
    <n v="896"/>
    <n v="3879177514583"/>
    <s v="PaleGreen"/>
    <s v="L"/>
    <x v="0"/>
    <n v="31"/>
    <s v="L"/>
    <s v="Medium"/>
    <x v="0"/>
    <n v="108416"/>
    <s v="Medium Outlier"/>
    <x v="0"/>
    <x v="0"/>
    <n v="0"/>
    <n v="0"/>
    <x v="5"/>
  </r>
  <r>
    <n v="96"/>
    <s v="Router"/>
    <x v="67"/>
    <x v="21"/>
    <n v="375"/>
    <s v="USD"/>
    <n v="703"/>
    <n v="3330396409604"/>
    <s v="Gainsboro"/>
    <s v="8x10 in"/>
    <x v="4"/>
    <n v="55"/>
    <s v="S"/>
    <s v="Medium"/>
    <x v="0"/>
    <n v="263625"/>
    <s v="Medium Outlier"/>
    <x v="0"/>
    <x v="1"/>
    <n v="1"/>
    <n v="0"/>
    <x v="1"/>
  </r>
  <r>
    <n v="7"/>
    <s v="Ultra Projector Oven Thermostat Prime Advanced"/>
    <x v="68"/>
    <x v="21"/>
    <n v="68"/>
    <s v="USD"/>
    <n v="870"/>
    <n v="5029747624534"/>
    <s v="Purple"/>
    <s v="S"/>
    <x v="0"/>
    <n v="86"/>
    <s v="S"/>
    <s v="Medium"/>
    <x v="0"/>
    <n v="59160"/>
    <s v="Low Outlier"/>
    <x v="0"/>
    <x v="0"/>
    <n v="0"/>
    <n v="0"/>
    <x v="5"/>
  </r>
  <r>
    <n v="90"/>
    <s v="Digital Trimmer"/>
    <x v="69"/>
    <x v="21"/>
    <n v="541"/>
    <s v="USD"/>
    <n v="488"/>
    <n v="4147810179628"/>
    <s v="SteelBlue"/>
    <s v="M"/>
    <x v="2"/>
    <n v="31"/>
    <s v="M"/>
    <s v="Low"/>
    <x v="0"/>
    <n v="264008"/>
    <s v="Medium Outlier"/>
    <x v="0"/>
    <x v="1"/>
    <n v="1"/>
    <n v="0"/>
    <x v="1"/>
  </r>
  <r>
    <n v="81"/>
    <s v="Fast Heater Cooker Compact Silent"/>
    <x v="70"/>
    <x v="22"/>
    <n v="367"/>
    <s v="USD"/>
    <n v="19"/>
    <n v="3868467036959"/>
    <s v="Orchid"/>
    <s v="8x10 in"/>
    <x v="5"/>
    <n v="15"/>
    <s v="S"/>
    <s v="Medium"/>
    <x v="0"/>
    <n v="6973"/>
    <s v="Medium Outlier"/>
    <x v="1"/>
    <x v="0"/>
    <n v="0"/>
    <n v="0"/>
    <x v="0"/>
  </r>
  <r>
    <n v="72"/>
    <s v="Silent Webcam Webcam Treadmill Sense Portable Advanced"/>
    <x v="71"/>
    <x v="22"/>
    <n v="148"/>
    <s v="USD"/>
    <n v="650"/>
    <n v="6908065460286"/>
    <s v="Aqua"/>
    <s v="M"/>
    <x v="3"/>
    <n v="29"/>
    <s v="M"/>
    <s v="Medium"/>
    <x v="0"/>
    <n v="96200"/>
    <s v="Medium Outlier"/>
    <x v="0"/>
    <x v="0"/>
    <n v="0"/>
    <n v="0"/>
    <x v="0"/>
  </r>
  <r>
    <n v="61"/>
    <s v="Smart Webcam Projector Lock"/>
    <x v="72"/>
    <x v="23"/>
    <n v="440"/>
    <s v="USD"/>
    <n v="973"/>
    <n v="4811928042234"/>
    <s v="SteelBlue"/>
    <s v="Medium"/>
    <x v="5"/>
    <n v="3"/>
    <s v="M"/>
    <s v="Medium"/>
    <x v="0"/>
    <n v="428120"/>
    <s v="Medium Outlier"/>
    <x v="0"/>
    <x v="1"/>
    <n v="1"/>
    <n v="0"/>
    <x v="1"/>
  </r>
  <r>
    <n v="59"/>
    <s v="Oven Speaker Fan"/>
    <x v="73"/>
    <x v="23"/>
    <n v="489"/>
    <s v="USD"/>
    <n v="423"/>
    <n v="2567562782853"/>
    <s v="GoldenRod"/>
    <s v="Small"/>
    <x v="2"/>
    <n v="99"/>
    <s v="S"/>
    <s v="Medium"/>
    <x v="0"/>
    <n v="206847"/>
    <s v="Medium Outlier"/>
    <x v="1"/>
    <x v="0"/>
    <n v="0"/>
    <n v="0"/>
    <x v="5"/>
  </r>
  <r>
    <n v="42"/>
    <s v="Ultra Speakerphone Oven Go Smart X"/>
    <x v="74"/>
    <x v="24"/>
    <n v="999"/>
    <s v="USD"/>
    <n v="853"/>
    <n v="450118214736"/>
    <s v="MediumOrchid"/>
    <s v="12x18 in"/>
    <x v="2"/>
    <n v="23"/>
    <s v="XXL"/>
    <s v="High"/>
    <x v="0"/>
    <n v="852147"/>
    <s v="High Outlier"/>
    <x v="0"/>
    <x v="1"/>
    <n v="1"/>
    <n v="1"/>
    <x v="7"/>
  </r>
  <r>
    <n v="49"/>
    <s v="Radio Treadmill"/>
    <x v="75"/>
    <x v="24"/>
    <n v="511"/>
    <s v="USD"/>
    <n v="395"/>
    <n v="5461960384619"/>
    <s v="Violet"/>
    <s v="XL"/>
    <x v="0"/>
    <n v="14"/>
    <s v="XL"/>
    <s v="Medium"/>
    <x v="0"/>
    <n v="201845"/>
    <s v="Medium Outlier"/>
    <x v="1"/>
    <x v="0"/>
    <n v="0"/>
    <n v="0"/>
    <x v="0"/>
  </r>
  <r>
    <n v="56"/>
    <s v="Advanced Camera Heater Webcam X Ultra Prime"/>
    <x v="76"/>
    <x v="24"/>
    <n v="224"/>
    <s v="USD"/>
    <n v="372"/>
    <n v="983367163970"/>
    <s v="Peru"/>
    <s v="50x70 cm"/>
    <x v="0"/>
    <n v="56"/>
    <s v="L"/>
    <s v="Medium"/>
    <x v="0"/>
    <n v="83328"/>
    <s v="Medium Outlier"/>
    <x v="1"/>
    <x v="0"/>
    <n v="0"/>
    <n v="0"/>
    <x v="0"/>
  </r>
  <r>
    <n v="64"/>
    <s v="Advanced Freezer Advanced Advanced"/>
    <x v="77"/>
    <x v="24"/>
    <n v="489"/>
    <s v="USD"/>
    <n v="561"/>
    <n v="6474143371206"/>
    <s v="Tomato"/>
    <s v="S"/>
    <x v="2"/>
    <n v="48"/>
    <s v="S"/>
    <s v="Medium"/>
    <x v="0"/>
    <n v="274329"/>
    <s v="Medium Outlier"/>
    <x v="0"/>
    <x v="1"/>
    <n v="1"/>
    <n v="0"/>
    <x v="2"/>
  </r>
  <r>
    <n v="83"/>
    <s v="Heater Keyboard"/>
    <x v="78"/>
    <x v="24"/>
    <n v="103"/>
    <s v="USD"/>
    <n v="208"/>
    <n v="5328785590239"/>
    <s v="Chocolate"/>
    <s v="Extra Large"/>
    <x v="3"/>
    <n v="72"/>
    <s v="XL"/>
    <s v="Low"/>
    <x v="0"/>
    <n v="21424"/>
    <s v="Low Outlier"/>
    <x v="1"/>
    <x v="0"/>
    <n v="0"/>
    <n v="0"/>
    <x v="0"/>
  </r>
  <r>
    <n v="2"/>
    <s v="Tablet"/>
    <x v="79"/>
    <x v="25"/>
    <n v="502"/>
    <s v="USD"/>
    <n v="81"/>
    <n v="5286196620740"/>
    <s v="Black"/>
    <s v="8x10 in"/>
    <x v="5"/>
    <n v="29"/>
    <s v="S"/>
    <s v="Medium"/>
    <x v="0"/>
    <n v="40662"/>
    <s v="Medium Outlier"/>
    <x v="1"/>
    <x v="0"/>
    <n v="0"/>
    <n v="0"/>
    <x v="5"/>
  </r>
  <r>
    <n v="35"/>
    <s v="Premium Bicycle Microphone"/>
    <x v="80"/>
    <x v="25"/>
    <n v="480"/>
    <s v="USD"/>
    <n v="364"/>
    <n v="6209821998907"/>
    <s v="AliceBlue"/>
    <s v="Extra Large"/>
    <x v="0"/>
    <n v="78"/>
    <s v="XL"/>
    <s v="Medium"/>
    <x v="0"/>
    <n v="174720"/>
    <s v="Medium Outlier"/>
    <x v="1"/>
    <x v="0"/>
    <n v="0"/>
    <n v="0"/>
    <x v="5"/>
  </r>
  <r>
    <n v="6"/>
    <s v="Radio"/>
    <x v="81"/>
    <x v="26"/>
    <n v="426"/>
    <s v="USD"/>
    <n v="549"/>
    <n v="1150028980156"/>
    <s v="CornflowerBlue"/>
    <s v="30x40 cm"/>
    <x v="2"/>
    <n v="60"/>
    <s v="M"/>
    <s v="Medium"/>
    <x v="0"/>
    <n v="233874"/>
    <s v="Medium Outlier"/>
    <x v="0"/>
    <x v="0"/>
    <n v="0"/>
    <n v="0"/>
    <x v="3"/>
  </r>
  <r>
    <n v="9"/>
    <s v="Eco Radio"/>
    <x v="82"/>
    <x v="26"/>
    <n v="454"/>
    <s v="USD"/>
    <n v="499"/>
    <n v="1773215338624"/>
    <s v="DimGray"/>
    <s v="Medium"/>
    <x v="2"/>
    <n v="88"/>
    <s v="M"/>
    <s v="Low"/>
    <x v="0"/>
    <n v="226546"/>
    <s v="Medium Outlier"/>
    <x v="0"/>
    <x v="0"/>
    <n v="0"/>
    <n v="0"/>
    <x v="3"/>
  </r>
  <r>
    <n v="23"/>
    <s v="Rechargeable Lamp Speakerphone Headphones"/>
    <x v="83"/>
    <x v="26"/>
    <n v="664"/>
    <s v="USD"/>
    <n v="577"/>
    <n v="1824359393441"/>
    <s v="DarkBlue"/>
    <s v="L"/>
    <x v="2"/>
    <n v="26"/>
    <s v="L"/>
    <s v="Medium"/>
    <x v="0"/>
    <n v="383128"/>
    <s v="High Outlier"/>
    <x v="0"/>
    <x v="1"/>
    <n v="1"/>
    <n v="1"/>
    <x v="4"/>
  </r>
  <r>
    <n v="33"/>
    <s v="Advanced Microphone Cooler Eco"/>
    <x v="84"/>
    <x v="27"/>
    <n v="904"/>
    <s v="USD"/>
    <n v="532"/>
    <n v="7107438924403"/>
    <s v="LightCyan"/>
    <s v="Extra Large"/>
    <x v="4"/>
    <n v="86"/>
    <s v="XL"/>
    <s v="Medium"/>
    <x v="0"/>
    <n v="480928"/>
    <s v="High Outlier"/>
    <x v="0"/>
    <x v="1"/>
    <n v="1"/>
    <n v="1"/>
    <x v="6"/>
  </r>
  <r>
    <n v="65"/>
    <s v="Silent Trimmer Shaver Fast"/>
    <x v="85"/>
    <x v="27"/>
    <n v="130"/>
    <s v="USD"/>
    <n v="876"/>
    <n v="4089415274929"/>
    <s v="DarkSlateGray"/>
    <s v="5x7 in"/>
    <x v="5"/>
    <n v="76"/>
    <s v="XS"/>
    <s v="Medium"/>
    <x v="0"/>
    <n v="113880"/>
    <s v="Medium Outlier"/>
    <x v="0"/>
    <x v="0"/>
    <n v="0"/>
    <n v="0"/>
    <x v="5"/>
  </r>
  <r>
    <n v="20"/>
    <s v="Cooler Fan"/>
    <x v="86"/>
    <x v="27"/>
    <n v="529"/>
    <s v="USD"/>
    <n v="844"/>
    <n v="267078141619"/>
    <s v="Bisque"/>
    <s v="XS"/>
    <x v="3"/>
    <n v="22"/>
    <s v="XS"/>
    <s v="Medium"/>
    <x v="0"/>
    <n v="446476"/>
    <s v="Medium Outlier"/>
    <x v="0"/>
    <x v="1"/>
    <n v="1"/>
    <n v="0"/>
    <x v="1"/>
  </r>
  <r>
    <n v="37"/>
    <s v="Bicycle"/>
    <x v="87"/>
    <x v="27"/>
    <n v="234"/>
    <s v="USD"/>
    <n v="394"/>
    <n v="7670612815694"/>
    <s v="White"/>
    <s v="10x10 cm"/>
    <x v="3"/>
    <n v="48"/>
    <s v="Other"/>
    <s v="Low"/>
    <x v="0"/>
    <n v="92196"/>
    <s v="Medium Outlier"/>
    <x v="1"/>
    <x v="0"/>
    <n v="0"/>
    <n v="0"/>
    <x v="5"/>
  </r>
  <r>
    <n v="70"/>
    <s v="Compact Mouse Mouse Router Mini"/>
    <x v="88"/>
    <x v="28"/>
    <n v="5"/>
    <s v="USD"/>
    <n v="247"/>
    <n v="252926529077"/>
    <s v="PapayaWhip"/>
    <s v="10x10 cm"/>
    <x v="4"/>
    <n v="79"/>
    <s v="Other"/>
    <s v="Medium"/>
    <x v="0"/>
    <n v="1235"/>
    <s v="Medium Outlier"/>
    <x v="1"/>
    <x v="0"/>
    <n v="0"/>
    <n v="0"/>
    <x v="5"/>
  </r>
  <r>
    <n v="74"/>
    <s v="Wireless Watch Tablet Printer Automatic Eco Sense"/>
    <x v="89"/>
    <x v="28"/>
    <n v="59"/>
    <s v="USD"/>
    <n v="169"/>
    <n v="1089969929675"/>
    <s v="Sienna"/>
    <s v="Large"/>
    <x v="1"/>
    <n v="31"/>
    <s v="L"/>
    <s v="Medium"/>
    <x v="0"/>
    <n v="9971"/>
    <s v="Medium Outlier"/>
    <x v="1"/>
    <x v="0"/>
    <n v="0"/>
    <n v="0"/>
    <x v="5"/>
  </r>
  <r>
    <n v="31"/>
    <s v="Silent Printer Fan Shaver"/>
    <x v="90"/>
    <x v="29"/>
    <n v="102"/>
    <s v="USD"/>
    <n v="669"/>
    <n v="5564792899662"/>
    <s v="MediumSpringGreen"/>
    <s v="L"/>
    <x v="4"/>
    <n v="14"/>
    <s v="L"/>
    <s v="Medium"/>
    <x v="0"/>
    <n v="68238"/>
    <s v="Medium Outlier"/>
    <x v="0"/>
    <x v="0"/>
    <n v="0"/>
    <n v="0"/>
    <x v="5"/>
  </r>
  <r>
    <n v="39"/>
    <s v="Wireless Tablet Router Printer Wireless Premium Air"/>
    <x v="91"/>
    <x v="29"/>
    <n v="781"/>
    <s v="USD"/>
    <n v="947"/>
    <n v="8247903213713"/>
    <s v="BlanchedAlmond"/>
    <s v="XL"/>
    <x v="1"/>
    <n v="69"/>
    <s v="XL"/>
    <s v="Medium"/>
    <x v="0"/>
    <n v="739607"/>
    <s v="High Outlier"/>
    <x v="0"/>
    <x v="1"/>
    <n v="1"/>
    <n v="1"/>
    <x v="6"/>
  </r>
  <r>
    <n v="89"/>
    <s v="Fast Vacuum Cooler"/>
    <x v="92"/>
    <x v="29"/>
    <n v="307"/>
    <s v="USD"/>
    <n v="320"/>
    <n v="4874329354658"/>
    <s v="LightSalmon"/>
    <s v="L"/>
    <x v="4"/>
    <n v="5"/>
    <s v="L"/>
    <s v="Low"/>
    <x v="0"/>
    <n v="98240"/>
    <s v="Medium Outlier"/>
    <x v="1"/>
    <x v="0"/>
    <n v="0"/>
    <n v="0"/>
    <x v="5"/>
  </r>
  <r>
    <n v="16"/>
    <s v="Automatic Watch Lite Sense"/>
    <x v="93"/>
    <x v="30"/>
    <n v="316"/>
    <s v="USD"/>
    <n v="329"/>
    <n v="3500722785805"/>
    <s v="Tan"/>
    <s v="5x7 in"/>
    <x v="4"/>
    <n v="44"/>
    <s v="XS"/>
    <s v="Medium"/>
    <x v="0"/>
    <n v="103964"/>
    <s v="Medium Outlier"/>
    <x v="1"/>
    <x v="0"/>
    <n v="0"/>
    <n v="0"/>
    <x v="5"/>
  </r>
  <r>
    <n v="48"/>
    <s v="Clock"/>
    <x v="94"/>
    <x v="30"/>
    <n v="731"/>
    <s v="USD"/>
    <n v="664"/>
    <n v="1382809012286"/>
    <s v="FloralWhite"/>
    <s v="S"/>
    <x v="4"/>
    <n v="55"/>
    <s v="S"/>
    <s v="Medium"/>
    <x v="0"/>
    <n v="485384"/>
    <s v="Medium Outlier"/>
    <x v="0"/>
    <x v="1"/>
    <n v="1"/>
    <n v="0"/>
    <x v="1"/>
  </r>
  <r>
    <n v="66"/>
    <s v="Treadmill"/>
    <x v="95"/>
    <x v="31"/>
    <n v="731"/>
    <s v="USD"/>
    <n v="744"/>
    <n v="4598541150958"/>
    <s v="Cyan"/>
    <s v="5x7 in"/>
    <x v="1"/>
    <n v="70"/>
    <s v="XS"/>
    <s v="High"/>
    <x v="0"/>
    <n v="543864"/>
    <s v="Medium Outlier"/>
    <x v="0"/>
    <x v="1"/>
    <n v="1"/>
    <n v="0"/>
    <x v="1"/>
  </r>
  <r>
    <n v="21"/>
    <s v="Portable Camera Plus Air Ultra"/>
    <x v="96"/>
    <x v="31"/>
    <n v="197"/>
    <s v="USD"/>
    <n v="163"/>
    <n v="963840013930"/>
    <s v="Magenta"/>
    <s v="L"/>
    <x v="5"/>
    <n v="96"/>
    <s v="L"/>
    <s v="Medium"/>
    <x v="0"/>
    <n v="32111"/>
    <s v="Low Outlier"/>
    <x v="1"/>
    <x v="0"/>
    <n v="0"/>
    <n v="0"/>
    <x v="5"/>
  </r>
  <r>
    <n v="36"/>
    <s v="Smart Phone Scooter Clean"/>
    <x v="97"/>
    <x v="31"/>
    <n v="635"/>
    <s v="USD"/>
    <n v="727"/>
    <n v="7883295446066"/>
    <s v="MediumVioletRed"/>
    <s v="10x10 cm"/>
    <x v="3"/>
    <n v="74"/>
    <s v="Other"/>
    <s v="High"/>
    <x v="0"/>
    <n v="461645"/>
    <s v="Medium Outlier"/>
    <x v="0"/>
    <x v="1"/>
    <n v="1"/>
    <n v="0"/>
    <x v="1"/>
  </r>
  <r>
    <n v="58"/>
    <s v="Portable Scale Speaker Powerbank Clean"/>
    <x v="98"/>
    <x v="31"/>
    <n v="689"/>
    <s v="USD"/>
    <n v="332"/>
    <n v="5175038823985"/>
    <s v="PowderBlue"/>
    <s v="Small"/>
    <x v="3"/>
    <n v="94"/>
    <s v="S"/>
    <s v="Medium"/>
    <x v="0"/>
    <n v="228748"/>
    <s v="Medium Outlier"/>
    <x v="1"/>
    <x v="1"/>
    <n v="1"/>
    <n v="0"/>
    <x v="1"/>
  </r>
  <r>
    <n v="86"/>
    <s v="Ultra Mixer Toaster Toaster Smart"/>
    <x v="99"/>
    <x v="31"/>
    <n v="342"/>
    <s v="USD"/>
    <n v="221"/>
    <n v="4862330962177"/>
    <s v="Tomato"/>
    <s v="S"/>
    <x v="2"/>
    <n v="88"/>
    <s v="S"/>
    <s v="Medium"/>
    <x v="0"/>
    <n v="75582"/>
    <s v="Medium Outlier"/>
    <x v="1"/>
    <x v="0"/>
    <n v="0"/>
    <n v="0"/>
    <x v="5"/>
  </r>
  <r>
    <m/>
    <m/>
    <x v="100"/>
    <x v="32"/>
    <m/>
    <m/>
    <n v="541.04"/>
    <m/>
    <m/>
    <m/>
    <x v="6"/>
    <m/>
    <s v="Other"/>
    <s v="High"/>
    <x v="1"/>
    <n v="244194.26"/>
    <m/>
    <x v="2"/>
    <x v="2"/>
    <m/>
    <m/>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5628D6-252E-4F88-9DAA-5B8039816D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37" firstHeaderRow="1"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dataField="1"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Average of Price" fld="4" subtotal="average" baseField="4"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D821E7-C581-407A-A243-58695800B6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37" firstHeaderRow="1"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Stock"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0B29FF-36A9-4249-B661-7AE18544E54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5" firstHeaderRow="1" firstDataRow="1" firstDataCol="1"/>
  <pivotFields count="22">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102">
        <item x="28"/>
        <item x="67"/>
        <item x="1"/>
        <item x="62"/>
        <item x="75"/>
        <item x="88"/>
        <item x="19"/>
        <item x="22"/>
        <item x="81"/>
        <item x="92"/>
        <item x="8"/>
        <item x="40"/>
        <item x="61"/>
        <item x="86"/>
        <item x="37"/>
        <item x="78"/>
        <item x="5"/>
        <item x="46"/>
        <item x="11"/>
        <item x="2"/>
        <item x="76"/>
        <item x="69"/>
        <item x="4"/>
        <item x="41"/>
        <item x="36"/>
        <item x="70"/>
        <item x="33"/>
        <item x="45"/>
        <item x="82"/>
        <item x="6"/>
        <item x="89"/>
        <item x="95"/>
        <item x="66"/>
        <item x="83"/>
        <item x="99"/>
        <item x="71"/>
        <item x="77"/>
        <item x="23"/>
        <item x="65"/>
        <item x="87"/>
        <item x="12"/>
        <item x="30"/>
        <item x="0"/>
        <item x="49"/>
        <item x="35"/>
        <item x="55"/>
        <item x="60"/>
        <item x="43"/>
        <item x="27"/>
        <item x="15"/>
        <item x="32"/>
        <item x="31"/>
        <item x="42"/>
        <item x="64"/>
        <item x="57"/>
        <item x="21"/>
        <item x="90"/>
        <item x="14"/>
        <item x="58"/>
        <item x="48"/>
        <item x="94"/>
        <item x="97"/>
        <item x="34"/>
        <item x="68"/>
        <item x="91"/>
        <item x="38"/>
        <item x="84"/>
        <item x="98"/>
        <item x="3"/>
        <item x="79"/>
        <item x="85"/>
        <item x="59"/>
        <item x="54"/>
        <item x="80"/>
        <item x="9"/>
        <item x="63"/>
        <item x="17"/>
        <item x="24"/>
        <item x="93"/>
        <item x="20"/>
        <item x="52"/>
        <item x="56"/>
        <item x="73"/>
        <item x="44"/>
        <item x="10"/>
        <item x="7"/>
        <item x="13"/>
        <item x="72"/>
        <item x="50"/>
        <item x="16"/>
        <item x="39"/>
        <item x="26"/>
        <item x="53"/>
        <item x="29"/>
        <item x="96"/>
        <item x="51"/>
        <item x="25"/>
        <item x="18"/>
        <item x="47"/>
        <item x="74"/>
        <item x="10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2">
    <i>
      <x v="99"/>
    </i>
    <i>
      <x v="55"/>
    </i>
    <i>
      <x v="52"/>
    </i>
    <i>
      <x/>
    </i>
    <i>
      <x v="2"/>
    </i>
    <i>
      <x v="54"/>
    </i>
    <i>
      <x v="98"/>
    </i>
    <i>
      <x v="51"/>
    </i>
    <i>
      <x v="66"/>
    </i>
    <i>
      <x v="43"/>
    </i>
    <i>
      <x v="41"/>
    </i>
    <i>
      <x v="14"/>
    </i>
    <i>
      <x v="65"/>
    </i>
    <i>
      <x v="50"/>
    </i>
    <i>
      <x v="86"/>
    </i>
    <i>
      <x v="27"/>
    </i>
    <i>
      <x v="64"/>
    </i>
    <i>
      <x v="24"/>
    </i>
    <i>
      <x v="17"/>
    </i>
    <i>
      <x v="19"/>
    </i>
    <i>
      <x v="60"/>
    </i>
    <i>
      <x v="31"/>
    </i>
    <i>
      <x v="26"/>
    </i>
    <i>
      <x v="67"/>
    </i>
    <i>
      <x v="45"/>
    </i>
    <i>
      <x v="18"/>
    </i>
    <i>
      <x v="33"/>
    </i>
    <i>
      <x v="3"/>
    </i>
    <i>
      <x v="61"/>
    </i>
    <i>
      <x v="58"/>
    </i>
    <i>
      <x v="83"/>
    </i>
    <i>
      <x v="37"/>
    </i>
    <i>
      <x v="23"/>
    </i>
    <i>
      <x v="12"/>
    </i>
    <i>
      <x v="21"/>
    </i>
    <i>
      <x v="13"/>
    </i>
    <i>
      <x v="6"/>
    </i>
    <i>
      <x v="76"/>
    </i>
    <i>
      <x v="4"/>
    </i>
    <i>
      <x v="69"/>
    </i>
    <i>
      <x v="82"/>
    </i>
    <i>
      <x v="36"/>
    </i>
    <i>
      <x v="44"/>
    </i>
    <i>
      <x v="73"/>
    </i>
    <i>
      <x v="93"/>
    </i>
    <i>
      <x v="28"/>
    </i>
    <i>
      <x v="87"/>
    </i>
    <i>
      <x v="8"/>
    </i>
    <i>
      <x v="49"/>
    </i>
    <i>
      <x v="10"/>
    </i>
    <i>
      <x v="71"/>
    </i>
    <i>
      <x v="38"/>
    </i>
    <i>
      <x v="47"/>
    </i>
    <i>
      <x v="59"/>
    </i>
    <i>
      <x v="1"/>
    </i>
    <i>
      <x v="79"/>
    </i>
    <i>
      <x v="25"/>
    </i>
    <i>
      <x v="75"/>
    </i>
    <i>
      <x v="97"/>
    </i>
    <i>
      <x v="16"/>
    </i>
    <i>
      <x v="34"/>
    </i>
    <i>
      <x v="77"/>
    </i>
    <i>
      <x v="78"/>
    </i>
    <i>
      <x v="9"/>
    </i>
    <i>
      <x v="85"/>
    </i>
    <i>
      <x v="84"/>
    </i>
    <i>
      <x v="90"/>
    </i>
    <i>
      <x v="22"/>
    </i>
    <i>
      <x v="57"/>
    </i>
    <i>
      <x v="89"/>
    </i>
    <i>
      <x v="95"/>
    </i>
    <i>
      <x v="80"/>
    </i>
    <i>
      <x v="7"/>
    </i>
    <i>
      <x v="39"/>
    </i>
    <i>
      <x v="96"/>
    </i>
    <i>
      <x v="53"/>
    </i>
    <i>
      <x v="20"/>
    </i>
    <i>
      <x v="91"/>
    </i>
    <i>
      <x v="11"/>
    </i>
    <i>
      <x v="42"/>
    </i>
    <i>
      <x v="94"/>
    </i>
    <i>
      <x v="88"/>
    </i>
    <i>
      <x v="68"/>
    </i>
    <i>
      <x v="35"/>
    </i>
    <i>
      <x v="70"/>
    </i>
    <i>
      <x v="74"/>
    </i>
    <i>
      <x v="32"/>
    </i>
    <i>
      <x v="15"/>
    </i>
    <i>
      <x v="56"/>
    </i>
    <i>
      <x v="48"/>
    </i>
    <i>
      <x v="62"/>
    </i>
    <i>
      <x v="40"/>
    </i>
    <i>
      <x v="63"/>
    </i>
    <i>
      <x v="30"/>
    </i>
    <i>
      <x v="81"/>
    </i>
    <i>
      <x v="72"/>
    </i>
    <i>
      <x v="29"/>
    </i>
    <i>
      <x v="5"/>
    </i>
    <i>
      <x v="92"/>
    </i>
    <i>
      <x v="46"/>
    </i>
    <i>
      <x v="100"/>
    </i>
    <i t="grand">
      <x/>
    </i>
  </rowItems>
  <colItems count="1">
    <i/>
  </colItems>
  <dataFields count="1">
    <dataField name="Average of Price" fld="4" subtotal="average" baseField="2" baseItem="0"/>
  </dataFields>
  <conditionalFormats count="2">
    <conditionalFormat type="all" priority="1">
      <pivotAreas count="1">
        <pivotArea type="data" collapsedLevelsAreSubtotals="1" fieldPosition="0">
          <references count="2">
            <reference field="4294967294" count="1" selected="0">
              <x v="0"/>
            </reference>
            <reference field="2"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 type="all" priority="2">
      <pivotAreas count="1">
        <pivotArea type="data" collapsedLevelsAreSubtotals="1" fieldPosition="0">
          <references count="2">
            <reference field="4294967294" count="1" selected="0">
              <x v="0"/>
            </reference>
            <reference field="2"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3AD677-AF91-443B-AE3F-3B085FC958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7" firstHeaderRow="1"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dataField="1" showAll="0">
      <items count="8">
        <item x="3"/>
        <item x="0"/>
        <item x="5"/>
        <item x="4"/>
        <item x="1"/>
        <item x="2"/>
        <item x="6"/>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Availability" fld="10" subtotal="count" showDataAs="percentOfCol" baseField="1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7FB3A3-A882-4F73-ADE3-6614A55E13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5" firstHeaderRow="1" firstDataRow="1" firstDataCol="1"/>
  <pivotFields count="22">
    <pivotField showAll="0"/>
    <pivotField showAll="0"/>
    <pivotField axis="axisRow" showAll="0" sortType="descending">
      <items count="102">
        <item x="28"/>
        <item x="67"/>
        <item x="1"/>
        <item x="62"/>
        <item x="75"/>
        <item x="88"/>
        <item x="19"/>
        <item x="22"/>
        <item x="81"/>
        <item x="92"/>
        <item x="8"/>
        <item x="40"/>
        <item x="61"/>
        <item x="86"/>
        <item x="37"/>
        <item x="78"/>
        <item x="5"/>
        <item x="46"/>
        <item x="11"/>
        <item x="2"/>
        <item x="76"/>
        <item x="69"/>
        <item x="4"/>
        <item x="41"/>
        <item x="36"/>
        <item x="70"/>
        <item x="33"/>
        <item x="45"/>
        <item x="82"/>
        <item x="6"/>
        <item x="89"/>
        <item x="95"/>
        <item x="66"/>
        <item x="83"/>
        <item x="99"/>
        <item x="71"/>
        <item x="77"/>
        <item x="23"/>
        <item x="65"/>
        <item x="87"/>
        <item x="12"/>
        <item x="30"/>
        <item x="0"/>
        <item x="49"/>
        <item x="35"/>
        <item x="55"/>
        <item x="60"/>
        <item x="43"/>
        <item x="27"/>
        <item x="15"/>
        <item x="32"/>
        <item x="31"/>
        <item x="42"/>
        <item x="64"/>
        <item x="57"/>
        <item x="21"/>
        <item x="90"/>
        <item x="14"/>
        <item x="58"/>
        <item x="48"/>
        <item x="94"/>
        <item x="97"/>
        <item x="34"/>
        <item x="68"/>
        <item x="91"/>
        <item x="38"/>
        <item x="84"/>
        <item x="98"/>
        <item x="3"/>
        <item x="79"/>
        <item x="85"/>
        <item x="59"/>
        <item x="54"/>
        <item x="80"/>
        <item x="9"/>
        <item x="63"/>
        <item x="17"/>
        <item x="24"/>
        <item x="93"/>
        <item x="20"/>
        <item x="52"/>
        <item x="56"/>
        <item x="73"/>
        <item x="44"/>
        <item x="10"/>
        <item x="7"/>
        <item x="13"/>
        <item x="72"/>
        <item x="50"/>
        <item x="16"/>
        <item x="39"/>
        <item x="26"/>
        <item x="53"/>
        <item x="29"/>
        <item x="96"/>
        <item x="51"/>
        <item x="25"/>
        <item x="18"/>
        <item x="47"/>
        <item x="74"/>
        <item x="10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2">
    <i>
      <x v="96"/>
    </i>
    <i>
      <x v="12"/>
    </i>
    <i>
      <x v="87"/>
    </i>
    <i>
      <x v="44"/>
    </i>
    <i>
      <x v="38"/>
    </i>
    <i>
      <x v="64"/>
    </i>
    <i>
      <x v="46"/>
    </i>
    <i>
      <x v="10"/>
    </i>
    <i>
      <x v="41"/>
    </i>
    <i>
      <x v="32"/>
    </i>
    <i>
      <x v="70"/>
    </i>
    <i>
      <x v="63"/>
    </i>
    <i>
      <x v="99"/>
    </i>
    <i>
      <x v="13"/>
    </i>
    <i>
      <x v="24"/>
    </i>
    <i>
      <x v="86"/>
    </i>
    <i>
      <x v="98"/>
    </i>
    <i>
      <x v="22"/>
    </i>
    <i>
      <x/>
    </i>
    <i>
      <x v="62"/>
    </i>
    <i>
      <x v="51"/>
    </i>
    <i>
      <x v="3"/>
    </i>
    <i>
      <x v="89"/>
    </i>
    <i>
      <x v="49"/>
    </i>
    <i>
      <x v="16"/>
    </i>
    <i>
      <x v="45"/>
    </i>
    <i>
      <x v="31"/>
    </i>
    <i>
      <x v="92"/>
    </i>
    <i>
      <x v="72"/>
    </i>
    <i>
      <x v="84"/>
    </i>
    <i>
      <x v="61"/>
    </i>
    <i>
      <x v="53"/>
    </i>
    <i>
      <x v="1"/>
    </i>
    <i>
      <x v="85"/>
    </i>
    <i>
      <x v="42"/>
    </i>
    <i>
      <x v="91"/>
    </i>
    <i>
      <x v="56"/>
    </i>
    <i>
      <x v="95"/>
    </i>
    <i>
      <x v="83"/>
    </i>
    <i>
      <x v="60"/>
    </i>
    <i>
      <x v="35"/>
    </i>
    <i>
      <x v="59"/>
    </i>
    <i>
      <x v="17"/>
    </i>
    <i>
      <x v="57"/>
    </i>
    <i>
      <x v="43"/>
    </i>
    <i>
      <x v="77"/>
    </i>
    <i>
      <x v="79"/>
    </i>
    <i>
      <x v="68"/>
    </i>
    <i>
      <x v="23"/>
    </i>
    <i>
      <x v="33"/>
    </i>
    <i>
      <x v="11"/>
    </i>
    <i>
      <x v="14"/>
    </i>
    <i>
      <x v="36"/>
    </i>
    <i>
      <x v="8"/>
    </i>
    <i>
      <x v="100"/>
    </i>
    <i>
      <x v="65"/>
    </i>
    <i>
      <x v="66"/>
    </i>
    <i>
      <x v="74"/>
    </i>
    <i>
      <x v="27"/>
    </i>
    <i>
      <x v="28"/>
    </i>
    <i>
      <x v="47"/>
    </i>
    <i>
      <x v="6"/>
    </i>
    <i>
      <x v="76"/>
    </i>
    <i>
      <x v="21"/>
    </i>
    <i>
      <x v="29"/>
    </i>
    <i>
      <x v="58"/>
    </i>
    <i>
      <x v="82"/>
    </i>
    <i>
      <x v="18"/>
    </i>
    <i>
      <x v="81"/>
    </i>
    <i>
      <x v="4"/>
    </i>
    <i>
      <x v="39"/>
    </i>
    <i>
      <x v="7"/>
    </i>
    <i>
      <x v="20"/>
    </i>
    <i>
      <x v="73"/>
    </i>
    <i>
      <x v="88"/>
    </i>
    <i>
      <x v="90"/>
    </i>
    <i>
      <x v="67"/>
    </i>
    <i>
      <x v="78"/>
    </i>
    <i>
      <x v="19"/>
    </i>
    <i>
      <x v="9"/>
    </i>
    <i>
      <x v="71"/>
    </i>
    <i>
      <x v="37"/>
    </i>
    <i>
      <x v="5"/>
    </i>
    <i>
      <x v="34"/>
    </i>
    <i>
      <x v="15"/>
    </i>
    <i>
      <x v="52"/>
    </i>
    <i>
      <x v="30"/>
    </i>
    <i>
      <x v="80"/>
    </i>
    <i>
      <x v="94"/>
    </i>
    <i>
      <x v="48"/>
    </i>
    <i>
      <x v="26"/>
    </i>
    <i>
      <x v="50"/>
    </i>
    <i>
      <x v="97"/>
    </i>
    <i>
      <x v="69"/>
    </i>
    <i>
      <x v="75"/>
    </i>
    <i>
      <x v="93"/>
    </i>
    <i>
      <x v="54"/>
    </i>
    <i>
      <x v="40"/>
    </i>
    <i>
      <x v="2"/>
    </i>
    <i>
      <x v="25"/>
    </i>
    <i>
      <x v="55"/>
    </i>
    <i t="grand">
      <x/>
    </i>
  </rowItems>
  <colItems count="1">
    <i/>
  </colItems>
  <dataFields count="1">
    <dataField name="Sum of Stock" fld="6" baseField="0" baseItem="0"/>
  </dataFields>
  <conditionalFormats count="1">
    <conditionalFormat type="all" priority="1">
      <pivotAreas count="1">
        <pivotArea type="data" collapsedLevelsAreSubtotals="1" fieldPosition="0">
          <references count="2">
            <reference field="4294967294" count="1" selected="0">
              <x v="0"/>
            </reference>
            <reference field="2"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DDA5DD-7A73-453F-B859-BB645FE3A0B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36" firstHeaderRow="1" firstDataRow="1" firstDataCol="1"/>
  <pivotFields count="2">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Price" fld="0" baseField="0" baseItem="0"/>
  </dataFields>
  <chartFormats count="3">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poducts.xlsx!product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28F2A0-A341-489A-B347-FB49765C23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37" firstHeaderRow="1"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sortType="descending">
      <items count="3">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Inventory value" fld="15" baseField="0" baseItem="0"/>
  </dataFields>
  <chartFormats count="4">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6ED033-4F98-401B-AB2B-ACF2D3AEEA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5" firstHeaderRow="1" firstDataRow="1" firstDataCol="1"/>
  <pivotFields count="22">
    <pivotField showAll="0"/>
    <pivotField showAll="0"/>
    <pivotField axis="axisRow" showAll="0" sortType="descending">
      <items count="102">
        <item x="28"/>
        <item x="67"/>
        <item x="1"/>
        <item x="62"/>
        <item x="75"/>
        <item x="88"/>
        <item x="19"/>
        <item x="22"/>
        <item x="81"/>
        <item x="92"/>
        <item x="8"/>
        <item x="40"/>
        <item x="61"/>
        <item x="86"/>
        <item x="37"/>
        <item x="78"/>
        <item x="5"/>
        <item x="46"/>
        <item x="11"/>
        <item x="2"/>
        <item x="76"/>
        <item x="69"/>
        <item x="4"/>
        <item x="41"/>
        <item x="36"/>
        <item x="70"/>
        <item x="33"/>
        <item x="45"/>
        <item x="82"/>
        <item x="6"/>
        <item x="89"/>
        <item x="95"/>
        <item x="66"/>
        <item x="83"/>
        <item x="99"/>
        <item x="71"/>
        <item x="77"/>
        <item x="23"/>
        <item x="65"/>
        <item x="87"/>
        <item x="12"/>
        <item x="30"/>
        <item x="0"/>
        <item x="49"/>
        <item x="35"/>
        <item x="55"/>
        <item x="60"/>
        <item x="43"/>
        <item x="27"/>
        <item x="15"/>
        <item x="32"/>
        <item x="31"/>
        <item x="42"/>
        <item x="64"/>
        <item x="57"/>
        <item x="21"/>
        <item x="90"/>
        <item x="14"/>
        <item x="58"/>
        <item x="48"/>
        <item x="94"/>
        <item x="97"/>
        <item x="34"/>
        <item x="68"/>
        <item x="91"/>
        <item x="38"/>
        <item x="84"/>
        <item x="98"/>
        <item x="3"/>
        <item x="79"/>
        <item x="85"/>
        <item x="59"/>
        <item x="54"/>
        <item x="80"/>
        <item x="9"/>
        <item x="63"/>
        <item x="17"/>
        <item x="24"/>
        <item x="93"/>
        <item x="20"/>
        <item x="52"/>
        <item x="56"/>
        <item x="73"/>
        <item x="44"/>
        <item x="10"/>
        <item x="7"/>
        <item x="13"/>
        <item x="72"/>
        <item x="50"/>
        <item x="16"/>
        <item x="39"/>
        <item x="26"/>
        <item x="53"/>
        <item x="29"/>
        <item x="96"/>
        <item x="51"/>
        <item x="25"/>
        <item x="18"/>
        <item x="47"/>
        <item x="74"/>
        <item x="10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02">
    <i>
      <x v="99"/>
    </i>
    <i>
      <x/>
    </i>
    <i>
      <x v="41"/>
    </i>
    <i>
      <x v="98"/>
    </i>
    <i>
      <x v="64"/>
    </i>
    <i>
      <x v="51"/>
    </i>
    <i>
      <x v="86"/>
    </i>
    <i>
      <x v="24"/>
    </i>
    <i>
      <x v="12"/>
    </i>
    <i>
      <x v="43"/>
    </i>
    <i>
      <x v="31"/>
    </i>
    <i>
      <x v="45"/>
    </i>
    <i>
      <x v="3"/>
    </i>
    <i>
      <x v="60"/>
    </i>
    <i>
      <x v="66"/>
    </i>
    <i>
      <x v="14"/>
    </i>
    <i>
      <x v="44"/>
    </i>
    <i>
      <x v="17"/>
    </i>
    <i>
      <x v="61"/>
    </i>
    <i>
      <x v="13"/>
    </i>
    <i>
      <x v="65"/>
    </i>
    <i>
      <x v="87"/>
    </i>
    <i>
      <x v="83"/>
    </i>
    <i>
      <x v="27"/>
    </i>
    <i>
      <x v="38"/>
    </i>
    <i>
      <x v="33"/>
    </i>
    <i>
      <x v="10"/>
    </i>
    <i>
      <x v="23"/>
    </i>
    <i>
      <x v="49"/>
    </i>
    <i>
      <x v="18"/>
    </i>
    <i>
      <x v="58"/>
    </i>
    <i>
      <x v="36"/>
    </i>
    <i>
      <x v="16"/>
    </i>
    <i>
      <x v="21"/>
    </i>
    <i>
      <x v="1"/>
    </i>
    <i>
      <x v="6"/>
    </i>
    <i>
      <x v="76"/>
    </i>
    <i>
      <x v="100"/>
    </i>
    <i>
      <x v="59"/>
    </i>
    <i>
      <x v="19"/>
    </i>
    <i>
      <x v="8"/>
    </i>
    <i>
      <x v="96"/>
    </i>
    <i>
      <x v="67"/>
    </i>
    <i>
      <x v="22"/>
    </i>
    <i>
      <x v="28"/>
    </i>
    <i>
      <x v="79"/>
    </i>
    <i>
      <x v="77"/>
    </i>
    <i>
      <x v="84"/>
    </i>
    <i>
      <x v="82"/>
    </i>
    <i>
      <x v="89"/>
    </i>
    <i>
      <x v="85"/>
    </i>
    <i>
      <x v="4"/>
    </i>
    <i>
      <x v="47"/>
    </i>
    <i>
      <x v="52"/>
    </i>
    <i>
      <x v="73"/>
    </i>
    <i>
      <x v="95"/>
    </i>
    <i>
      <x v="57"/>
    </i>
    <i>
      <x v="53"/>
    </i>
    <i>
      <x v="37"/>
    </i>
    <i>
      <x v="91"/>
    </i>
    <i>
      <x v="42"/>
    </i>
    <i>
      <x v="11"/>
    </i>
    <i>
      <x v="50"/>
    </i>
    <i>
      <x v="71"/>
    </i>
    <i>
      <x v="70"/>
    </i>
    <i>
      <x v="32"/>
    </i>
    <i>
      <x v="26"/>
    </i>
    <i>
      <x v="78"/>
    </i>
    <i>
      <x v="9"/>
    </i>
    <i>
      <x v="90"/>
    </i>
    <i>
      <x v="35"/>
    </i>
    <i>
      <x v="7"/>
    </i>
    <i>
      <x v="68"/>
    </i>
    <i>
      <x v="39"/>
    </i>
    <i>
      <x v="20"/>
    </i>
    <i>
      <x v="62"/>
    </i>
    <i>
      <x v="34"/>
    </i>
    <i>
      <x v="56"/>
    </i>
    <i>
      <x v="74"/>
    </i>
    <i>
      <x v="63"/>
    </i>
    <i>
      <x v="88"/>
    </i>
    <i>
      <x v="54"/>
    </i>
    <i>
      <x v="2"/>
    </i>
    <i>
      <x v="97"/>
    </i>
    <i>
      <x v="80"/>
    </i>
    <i>
      <x v="69"/>
    </i>
    <i>
      <x v="94"/>
    </i>
    <i>
      <x v="93"/>
    </i>
    <i>
      <x v="75"/>
    </i>
    <i>
      <x v="72"/>
    </i>
    <i>
      <x v="15"/>
    </i>
    <i>
      <x v="81"/>
    </i>
    <i>
      <x v="48"/>
    </i>
    <i>
      <x v="55"/>
    </i>
    <i>
      <x v="30"/>
    </i>
    <i>
      <x v="25"/>
    </i>
    <i>
      <x v="29"/>
    </i>
    <i>
      <x v="40"/>
    </i>
    <i>
      <x v="92"/>
    </i>
    <i>
      <x v="5"/>
    </i>
    <i>
      <x v="46"/>
    </i>
    <i t="grand">
      <x/>
    </i>
  </rowItems>
  <colItems count="1">
    <i/>
  </colItems>
  <dataFields count="1">
    <dataField name="Sum of Inventory value" fld="15" baseField="0" baseItem="0"/>
  </dataFields>
  <conditionalFormats count="2">
    <conditionalFormat type="all" priority="1">
      <pivotAreas count="1">
        <pivotArea type="data" collapsedLevelsAreSubtotals="1" fieldPosition="0">
          <references count="2">
            <reference field="4294967294" count="1" selected="0">
              <x v="0"/>
            </reference>
            <reference field="2"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 type="all" priority="2">
      <pivotAreas count="1">
        <pivotArea type="data" collapsedLevelsAreSubtotals="1" fieldPosition="0">
          <references count="2">
            <reference field="4294967294" count="1" selected="0">
              <x v="0"/>
            </reference>
            <reference field="2"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2D24FB-8B0A-4DDE-9B19-25CFAE84E2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37" firstHeaderRow="1"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39EB1F-22A1-481B-9B26-B93CCA3DAF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37" firstHeaderRow="1"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64DBAE-972A-40EB-9350-0A2C378A51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7" firstHeaderRow="0" firstDataRow="1" firstDataCol="1"/>
  <pivotFields count="22">
    <pivotField showAll="0"/>
    <pivotField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
        <item x="0"/>
        <item x="1"/>
        <item x="2"/>
        <item t="default"/>
      </items>
    </pivotField>
    <pivotField dataField="1" showAll="0">
      <items count="4">
        <item x="1"/>
        <item x="0"/>
        <item x="2"/>
        <item t="default"/>
      </items>
    </pivotField>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name="Count of Sock Status" fld="17" subtotal="count" baseField="0" baseItem="0"/>
    <dataField name="Count of Inventory Val. Statu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C55F36-F94D-42F7-96F5-8F1159263ABC}" autoFormatId="16" applyNumberFormats="0" applyBorderFormats="0" applyFontFormats="0" applyPatternFormats="0" applyAlignmentFormats="0" applyWidthHeightFormats="0">
  <queryTableRefresh nextId="34" unboundColumnsRight="9">
    <queryTableFields count="21">
      <queryTableField id="1" name="Index" tableColumnId="1"/>
      <queryTableField id="2" name="Name" tableColumnId="2"/>
      <queryTableField id="4" name="Brand" tableColumnId="4"/>
      <queryTableField id="5" name="Category" tableColumnId="5"/>
      <queryTableField id="6" name="Price" tableColumnId="6"/>
      <queryTableField id="7" name="Currency" tableColumnId="7"/>
      <queryTableField id="8" name="Stock" tableColumnId="8"/>
      <queryTableField id="9" name="EAN" tableColumnId="9"/>
      <queryTableField id="10" name="Color" tableColumnId="10"/>
      <queryTableField id="11" name="Size" tableColumnId="11"/>
      <queryTableField id="12" name="Availability" tableColumnId="12"/>
      <queryTableField id="13" name="Internal ID" tableColumnId="13"/>
      <queryTableField id="18" dataBound="0" tableColumnId="18"/>
      <queryTableField id="19" dataBound="0" tableColumnId="19"/>
      <queryTableField id="25" dataBound="0" tableColumnId="3"/>
      <queryTableField id="27" dataBound="0" tableColumnId="14"/>
      <queryTableField id="28" dataBound="0" tableColumnId="15"/>
      <queryTableField id="29" dataBound="0" tableColumnId="17"/>
      <queryTableField id="30" dataBound="0" tableColumnId="20"/>
      <queryTableField id="32" dataBound="0" tableColumnId="21"/>
      <queryTableField id="33" dataBound="0" tableColumnId="22"/>
    </queryTableFields>
    <queryTableDeletedFields count="1">
      <deletedField name="Descripti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ility" xr10:uid="{8E15441D-7431-4E87-9861-D7F7283022CD}" sourceName="Availability">
  <pivotTables>
    <pivotTable tabId="7" name="PivotTable2"/>
  </pivotTables>
  <data>
    <tabular pivotCacheId="1854732856">
      <items count="7">
        <i x="3" s="1"/>
        <i x="0" s="1"/>
        <i x="5" s="1"/>
        <i x="4" s="1"/>
        <i x="1" s="1"/>
        <i x="2"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E2F4D7-E804-4783-91FE-342F8D9835E0}" sourceName="Category">
  <pivotTables>
    <pivotTable tabId="22" name="PivotTable1"/>
  </pivotTables>
  <data>
    <tabular pivotCacheId="1854732856">
      <items count="3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F10F870-2221-4710-A2D7-00ACB4797973}" sourceName="Category">
  <pivotTables>
    <pivotTable tabId="23" name="PivotTable2"/>
  </pivotTables>
  <data>
    <tabular pivotCacheId="1854732856">
      <items count="3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363FEE5B-5635-4542-89C4-0C1A53670097}" sourceName="Category">
  <pivotTables>
    <pivotTable tabId="24" name="PivotTable3"/>
  </pivotTables>
  <data>
    <tabular pivotCacheId="1854732856">
      <items count="3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k_Status" xr10:uid="{FA02A6F8-F007-4775-B1F6-9FB5FA2DBE40}" sourceName="Sock Status">
  <pivotTables>
    <pivotTable tabId="24" name="PivotTable3"/>
  </pivotTables>
  <data>
    <tabular pivotCacheId="1854732856">
      <items count="3">
        <i x="0" s="1"/>
        <i x="1" s="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_Val._Status" xr10:uid="{39B0DC1C-AFD6-40BC-AADC-B2CBA25B562D}" sourceName="Inventory Val. Status">
  <pivotTables>
    <pivotTable tabId="24" name="PivotTable3"/>
  </pivotTables>
  <data>
    <tabular pivotCacheId="1854732856">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ailability" xr10:uid="{E332680A-7446-4C7F-BEC6-96CF5E8A929E}" cache="Slicer_Availability" caption="Availabilit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9F9D470-9057-4219-9C4D-44866AD47A29}" cache="Slicer_Category" caption="Category"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A023DC7-2A77-4B98-AECD-120C95C4468E}" cache="Slicer_Category1" caption="Category"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680ED195-2A48-4263-BA84-A40E114921A8}" cache="Slicer_Category2" caption="Category" rowHeight="257175"/>
  <slicer name="Sock Status" xr10:uid="{106E7572-1F44-4BAC-9E8A-4A730A1BBA67}" cache="Slicer_Sock_Status" caption="Sock Status" rowHeight="257175"/>
  <slicer name="Inventory Val. Status" xr10:uid="{7BF001B2-5052-4BB0-85D7-E6A2A31AA14E}" cache="Slicer_Inventory_Val._Status" caption="Inventory Val. Status"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C2D989-0D2F-4EA8-81B2-7DED2729B25D}" name="products" displayName="products" ref="A1:U103" tableType="queryTable" totalsRowCount="1">
  <autoFilter ref="A1:U102" xr:uid="{96C2D989-0D2F-4EA8-81B2-7DED2729B25D}"/>
  <sortState xmlns:xlrd2="http://schemas.microsoft.com/office/spreadsheetml/2017/richdata2" ref="A2:O102">
    <sortCondition ref="D2:D102"/>
  </sortState>
  <tableColumns count="21">
    <tableColumn id="1" xr3:uid="{C5412F56-9399-4BA1-89EA-862241FBFCBB}" uniqueName="1" name="Index" queryTableFieldId="1"/>
    <tableColumn id="2" xr3:uid="{0999920B-6479-4958-8A68-2AB73E53C5B6}" uniqueName="2" name="Name" queryTableFieldId="2" dataDxfId="35"/>
    <tableColumn id="4" xr3:uid="{F38E9B07-C76B-41E6-86B4-A9050826A249}" uniqueName="4" name="Brand" queryTableFieldId="4" dataDxfId="34"/>
    <tableColumn id="5" xr3:uid="{890EA910-6F3F-4E65-B2AF-0D339AD9F027}" uniqueName="5" name="Category" queryTableFieldId="5" dataDxfId="33"/>
    <tableColumn id="6" xr3:uid="{E18F18E6-F540-460B-AAA7-6DC069F896DE}" uniqueName="6" name="Price" queryTableFieldId="6"/>
    <tableColumn id="7" xr3:uid="{23E871CB-2A85-4768-98C3-FE37100FF33B}" uniqueName="7" name="Currency" queryTableFieldId="7" dataDxfId="32"/>
    <tableColumn id="8" xr3:uid="{A2CF01E2-1CAD-4022-BC9A-B5EAB1715BD9}" uniqueName="8" name="Stock" queryTableFieldId="8"/>
    <tableColumn id="9" xr3:uid="{D907C162-0B1B-48CA-A73D-EF904219B3E3}" uniqueName="9" name="EAN" queryTableFieldId="9"/>
    <tableColumn id="10" xr3:uid="{4B102306-6F7B-4298-8FAA-6F52CB5C1239}" uniqueName="10" name="Color" queryTableFieldId="10" dataDxfId="31"/>
    <tableColumn id="11" xr3:uid="{00261508-702C-49FE-873B-3085734D9B87}" uniqueName="11" name="Size" queryTableFieldId="11" dataDxfId="30"/>
    <tableColumn id="12" xr3:uid="{392D9B39-06FB-4D47-9BFE-43B19F3B2089}" uniqueName="12" name="Availability" queryTableFieldId="12" dataDxfId="29"/>
    <tableColumn id="13" xr3:uid="{98FD4F39-5EA8-4322-894F-93673EADF783}" uniqueName="13" name="Internal ID" queryTableFieldId="13"/>
    <tableColumn id="18" xr3:uid="{A3B49105-7EFC-4EC0-9FE5-9A3FF740B4C9}" uniqueName="18" name="Adjusted Size" queryTableFieldId="18" dataDxfId="28">
      <calculatedColumnFormula array="1">_xlfn.IFS(
OR(J2="XS", J2="5x7 in"), "XS",
OR(TRIM(UPPER(J2))="S", J2="Small", J2="8x10 in"), "S",
OR(J2="M", J2="Medium", J2="30x40 cm"), "M",
OR(J2="L", J2="Large", J2="50x70 cm"), "L",
OR(J2="XL", J2="Extra Large", J2="100x200 mm"), "XL",
OR(J2="XXL", J2="12x18 in"), "XXL", TRUE, "Other"
)</calculatedColumnFormula>
    </tableColumn>
    <tableColumn id="19" xr3:uid="{486719C9-5EC3-4C5A-89E8-16843A5C9CDD}" uniqueName="19" name="Stock Outliers" queryTableFieldId="19" dataDxfId="27">
      <calculatedColumnFormula array="1">_xlfn.IFS( products[[#This Row],[Stock]]&gt;= _xlfn.XLOOKUP(#REF!,T:T,U:U) + _xlfn.XLOOKUP(#REF!,T:T,V:V),  "High", products[[#This Row],[Stock]]&lt;=_xlfn.XLOOKUP(#REF!,T:T,U:U)  - _xlfn.XLOOKUP(#REF!,T:T,V:V), "Low", TRUE, "Medium")</calculatedColumnFormula>
    </tableColumn>
    <tableColumn id="3" xr3:uid="{38982CA6-D4C6-4FEC-8BEA-9A35122FB41F}" uniqueName="3" name="Inventory value" queryTableFieldId="25" dataDxfId="26">
      <calculatedColumnFormula xml:space="preserve"> products[[#This Row],[Price]] * products[[#This Row],[Stock]]</calculatedColumnFormula>
    </tableColumn>
    <tableColumn id="14" xr3:uid="{A9168477-B98F-416F-A036-73C968E1D164}" uniqueName="14" name="Price Outliers" queryTableFieldId="27" dataDxfId="25">
      <calculatedColumnFormula array="1">_xlfn.IFS(products[[#This Row],[Price]]&gt;=_xlfn.XLOOKUP(products[Category],LOOKUPTABLE1!A:A,B:B) + _xlfn.XLOOKUP(#REF!,X:X,Z:Z), "High Outlier", products[[#This Row],[Price]]&lt;= _xlfn.XLOOKUP(#REF!,X:X,Y:Y) - _xlfn.XLOOKUP(#REF!, X:X,Z:Z), "Low Outlier", TRUE, "Medium")</calculatedColumnFormula>
    </tableColumn>
    <tableColumn id="15" xr3:uid="{BEF5A1F6-51D2-4DC1-882F-13C79A3794EB}" uniqueName="15" name="Sock Status" queryTableFieldId="28" dataDxfId="24"/>
    <tableColumn id="17" xr3:uid="{03BCFDAA-A86D-406C-ADBA-9E95141FC397}" uniqueName="17" name="Inventory Val. Status" queryTableFieldId="29" dataDxfId="23"/>
    <tableColumn id="20" xr3:uid="{D4AD4435-A50B-4F74-8B62-D30C8EDFAF74}" uniqueName="20" name="Numeric Inv. Status" queryTableFieldId="30" dataDxfId="22"/>
    <tableColumn id="21" xr3:uid="{FAA8F7AE-2B94-498C-8386-61F086825730}" uniqueName="21" name="Numeric Price Outlier " queryTableFieldId="32" dataDxfId="21"/>
    <tableColumn id="22" xr3:uid="{99EC9D3A-4D0D-458A-943C-93F48D1A47AF}" uniqueName="22" name="CHS" queryTableFieldId="33"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897567-FC61-48F5-8172-200F7F502C7D}" name="Table6" displayName="Table6" ref="B1:H34" totalsRowCount="1">
  <autoFilter ref="B1:H33" xr:uid="{DC897567-FC61-48F5-8172-200F7F502C7D}"/>
  <tableColumns count="7">
    <tableColumn id="1" xr3:uid="{0EAAF67A-725E-46B3-9ED2-F8D584F4D84F}" name="Average price">
      <calculatedColumnFormula>AVERAGEIF(products[Category],A2,products[Price])</calculatedColumnFormula>
    </tableColumn>
    <tableColumn id="2" xr3:uid="{BE7E5FA5-A6F0-4F51-B405-21508C93B7A2}" name="SD">
      <calculatedColumnFormula array="1">IFERROR(_xlfn.STDEV.S(IF(products[Category]=A2,products[Price])), "NULL")</calculatedColumnFormula>
    </tableColumn>
    <tableColumn id="3" xr3:uid="{F8920929-4AD4-447A-97BC-21BD800BC270}" name="CV" totalsRowFunction="custom">
      <calculatedColumnFormula>IFERROR(Table6[[#This Row],[SD]]/Table6[[#This Row],[Average price]], "NULL")</calculatedColumnFormula>
      <totalsRowFormula>AVERAGE(Table6[CV])</totalsRowFormula>
    </tableColumn>
    <tableColumn id="4" xr3:uid="{86EB53D0-F3C7-4F8F-8317-D1B6F244F2BE}" name="VOLATILITY">
      <calculatedColumnFormula>IF(Table6[[#This Row],[CV]] &gt; AVERAGE( D2:D33), "High Volatility", "Low Volatility")</calculatedColumnFormula>
    </tableColumn>
    <tableColumn id="5" xr3:uid="{F12CCA47-05B9-467E-8E3F-F5997CBFBA6D}" name="STABILITY">
      <calculatedColumnFormula>IF(Table6[[#This Row],[VOLATILITY]]="High volatility", "Stable","Unstable")</calculatedColumnFormula>
    </tableColumn>
    <tableColumn id="6" xr3:uid="{83395BD8-EF24-48C7-B3CF-998D43642A05}" name="Numeric VOLATILITY">
      <calculatedColumnFormula>IF(Table6[[#This Row],[VOLATILITY]]="High Volatility",1,0)</calculatedColumnFormula>
    </tableColumn>
    <tableColumn id="7" xr3:uid="{0F6986A2-3110-485D-91AB-F1ACDE789127}" name="Numeric STABILITY">
      <calculatedColumnFormula>IF(Table6[[#This Row],[STABILITY]] = "Stable",1,0)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60E5B7-7D24-411E-8C3F-F72CB0DACCE4}" name="Table2" displayName="Table2" ref="B1:H34" totalsRowShown="0">
  <autoFilter ref="B1:H34" xr:uid="{7F60E5B7-7D24-411E-8C3F-F72CB0DACCE4}"/>
  <tableColumns count="7">
    <tableColumn id="1" xr3:uid="{B1EE6860-A3DE-4C96-8588-2D26BEA23081}" name="Average Stock"/>
    <tableColumn id="2" xr3:uid="{1DB01CF8-F895-45FB-ADF5-7B9DEFC24A2B}" name="SD"/>
    <tableColumn id="3" xr3:uid="{944EB2E7-7398-4EE8-80E1-182F8D74987C}" name="CV"/>
    <tableColumn id="4" xr3:uid="{057D50D5-A03B-4CE1-8BFB-B1ED2817373F}" name="VOLATILITY"/>
    <tableColumn id="5" xr3:uid="{38C5DB39-1D54-48DD-9189-C3E4DA2978AF}" name="STABILITY"/>
    <tableColumn id="6" xr3:uid="{02320177-9F9F-490D-B56A-71AFF8E3CC18}" name="Numeric VOLATILITY">
      <calculatedColumnFormula>IF(Table2[[#This Row],[VOLATILITY]]="High Volatility",1,0)</calculatedColumnFormula>
    </tableColumn>
    <tableColumn id="7" xr3:uid="{0590654C-44E7-4321-AD27-4CD8148A0512}" name="Numeric STABIL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EAF5E-E9E5-4B57-BA97-A0D5A17FB1C5}">
  <dimension ref="A3:B37"/>
  <sheetViews>
    <sheetView topLeftCell="A33" zoomScale="95" workbookViewId="0">
      <selection activeCell="O19" sqref="O19"/>
    </sheetView>
  </sheetViews>
  <sheetFormatPr defaultRowHeight="15" x14ac:dyDescent="0.25"/>
  <cols>
    <col min="1" max="1" width="28.5703125" bestFit="1" customWidth="1"/>
    <col min="2" max="2" width="15.5703125" bestFit="1" customWidth="1"/>
  </cols>
  <sheetData>
    <row r="3" spans="1:2" x14ac:dyDescent="0.25">
      <c r="A3" s="2" t="s">
        <v>341</v>
      </c>
      <c r="B3" t="s">
        <v>343</v>
      </c>
    </row>
    <row r="4" spans="1:2" x14ac:dyDescent="0.25">
      <c r="A4" s="3" t="s">
        <v>256</v>
      </c>
      <c r="B4">
        <v>206</v>
      </c>
    </row>
    <row r="5" spans="1:2" x14ac:dyDescent="0.25">
      <c r="A5" s="3" t="s">
        <v>51</v>
      </c>
      <c r="B5">
        <v>421.66666666666669</v>
      </c>
    </row>
    <row r="6" spans="1:2" x14ac:dyDescent="0.25">
      <c r="A6" s="3" t="s">
        <v>211</v>
      </c>
      <c r="B6">
        <v>278.5</v>
      </c>
    </row>
    <row r="7" spans="1:2" x14ac:dyDescent="0.25">
      <c r="A7" s="3" t="s">
        <v>110</v>
      </c>
      <c r="B7">
        <v>453</v>
      </c>
    </row>
    <row r="8" spans="1:2" x14ac:dyDescent="0.25">
      <c r="A8" s="3" t="s">
        <v>13</v>
      </c>
      <c r="B8">
        <v>388.5</v>
      </c>
    </row>
    <row r="9" spans="1:2" x14ac:dyDescent="0.25">
      <c r="A9" s="3" t="s">
        <v>218</v>
      </c>
      <c r="B9">
        <v>444.5</v>
      </c>
    </row>
    <row r="10" spans="1:2" x14ac:dyDescent="0.25">
      <c r="A10" s="3" t="s">
        <v>195</v>
      </c>
      <c r="B10">
        <v>612.66666666666663</v>
      </c>
    </row>
    <row r="11" spans="1:2" x14ac:dyDescent="0.25">
      <c r="A11" s="3" t="s">
        <v>68</v>
      </c>
      <c r="B11">
        <v>391.33333333333331</v>
      </c>
    </row>
    <row r="12" spans="1:2" x14ac:dyDescent="0.25">
      <c r="A12" s="3" t="s">
        <v>129</v>
      </c>
      <c r="B12">
        <v>858</v>
      </c>
    </row>
    <row r="13" spans="1:2" x14ac:dyDescent="0.25">
      <c r="A13" s="3" t="s">
        <v>72</v>
      </c>
      <c r="B13">
        <v>799.33333333333337</v>
      </c>
    </row>
    <row r="14" spans="1:2" x14ac:dyDescent="0.25">
      <c r="A14" s="3" t="s">
        <v>175</v>
      </c>
      <c r="B14">
        <v>100</v>
      </c>
    </row>
    <row r="15" spans="1:2" x14ac:dyDescent="0.25">
      <c r="A15" s="3" t="s">
        <v>59</v>
      </c>
      <c r="B15">
        <v>703.33333333333337</v>
      </c>
    </row>
    <row r="16" spans="1:2" x14ac:dyDescent="0.25">
      <c r="A16" s="3" t="s">
        <v>145</v>
      </c>
      <c r="B16">
        <v>477.5</v>
      </c>
    </row>
    <row r="17" spans="1:2" x14ac:dyDescent="0.25">
      <c r="A17" s="3" t="s">
        <v>134</v>
      </c>
      <c r="B17">
        <v>689</v>
      </c>
    </row>
    <row r="18" spans="1:2" x14ac:dyDescent="0.25">
      <c r="A18" s="3" t="s">
        <v>118</v>
      </c>
      <c r="B18">
        <v>702.5</v>
      </c>
    </row>
    <row r="19" spans="1:2" x14ac:dyDescent="0.25">
      <c r="A19" s="3" t="s">
        <v>170</v>
      </c>
      <c r="B19">
        <v>681.66666666666663</v>
      </c>
    </row>
    <row r="20" spans="1:2" x14ac:dyDescent="0.25">
      <c r="A20" s="3" t="s">
        <v>64</v>
      </c>
      <c r="B20">
        <v>268.33333333333331</v>
      </c>
    </row>
    <row r="21" spans="1:2" x14ac:dyDescent="0.25">
      <c r="A21" s="3" t="s">
        <v>273</v>
      </c>
      <c r="B21">
        <v>367.5</v>
      </c>
    </row>
    <row r="22" spans="1:2" x14ac:dyDescent="0.25">
      <c r="A22" s="3" t="s">
        <v>182</v>
      </c>
      <c r="B22">
        <v>782.5</v>
      </c>
    </row>
    <row r="23" spans="1:2" x14ac:dyDescent="0.25">
      <c r="A23" s="3" t="s">
        <v>36</v>
      </c>
      <c r="B23">
        <v>397.8</v>
      </c>
    </row>
    <row r="24" spans="1:2" x14ac:dyDescent="0.25">
      <c r="A24" s="3" t="s">
        <v>26</v>
      </c>
      <c r="B24">
        <v>251</v>
      </c>
    </row>
    <row r="25" spans="1:2" x14ac:dyDescent="0.25">
      <c r="A25" s="3" t="s">
        <v>46</v>
      </c>
      <c r="B25">
        <v>328</v>
      </c>
    </row>
    <row r="26" spans="1:2" x14ac:dyDescent="0.25">
      <c r="A26" s="3" t="s">
        <v>269</v>
      </c>
      <c r="B26">
        <v>257.5</v>
      </c>
    </row>
    <row r="27" spans="1:2" x14ac:dyDescent="0.25">
      <c r="A27" s="3" t="s">
        <v>231</v>
      </c>
      <c r="B27">
        <v>464.5</v>
      </c>
    </row>
    <row r="28" spans="1:2" x14ac:dyDescent="0.25">
      <c r="A28" s="3" t="s">
        <v>178</v>
      </c>
      <c r="B28">
        <v>465.2</v>
      </c>
    </row>
    <row r="29" spans="1:2" x14ac:dyDescent="0.25">
      <c r="A29" s="3" t="s">
        <v>20</v>
      </c>
      <c r="B29">
        <v>491</v>
      </c>
    </row>
    <row r="30" spans="1:2" x14ac:dyDescent="0.25">
      <c r="A30" s="3" t="s">
        <v>41</v>
      </c>
      <c r="B30">
        <v>514.66666666666663</v>
      </c>
    </row>
    <row r="31" spans="1:2" x14ac:dyDescent="0.25">
      <c r="A31" s="3" t="s">
        <v>102</v>
      </c>
      <c r="B31">
        <v>449.25</v>
      </c>
    </row>
    <row r="32" spans="1:2" x14ac:dyDescent="0.25">
      <c r="A32" s="3" t="s">
        <v>262</v>
      </c>
      <c r="B32">
        <v>32</v>
      </c>
    </row>
    <row r="33" spans="1:2" x14ac:dyDescent="0.25">
      <c r="A33" s="3" t="s">
        <v>141</v>
      </c>
      <c r="B33">
        <v>396.66666666666669</v>
      </c>
    </row>
    <row r="34" spans="1:2" x14ac:dyDescent="0.25">
      <c r="A34" s="3" t="s">
        <v>83</v>
      </c>
      <c r="B34">
        <v>523.5</v>
      </c>
    </row>
    <row r="35" spans="1:2" x14ac:dyDescent="0.25">
      <c r="A35" s="3" t="s">
        <v>106</v>
      </c>
      <c r="B35">
        <v>518.79999999999995</v>
      </c>
    </row>
    <row r="36" spans="1:2" x14ac:dyDescent="0.25">
      <c r="A36" s="3" t="s">
        <v>355</v>
      </c>
    </row>
    <row r="37" spans="1:2" x14ac:dyDescent="0.25">
      <c r="A37" s="3" t="s">
        <v>342</v>
      </c>
      <c r="B37">
        <v>451.19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14C-917F-42A7-BF44-7FE8C6F75825}">
  <dimension ref="A3:B37"/>
  <sheetViews>
    <sheetView workbookViewId="0">
      <selection activeCell="B4" sqref="B4:B11"/>
    </sheetView>
  </sheetViews>
  <sheetFormatPr defaultRowHeight="15" x14ac:dyDescent="0.25"/>
  <cols>
    <col min="1" max="1" width="28.5703125" bestFit="1" customWidth="1"/>
    <col min="2" max="2" width="12.7109375" bestFit="1" customWidth="1"/>
  </cols>
  <sheetData>
    <row r="3" spans="1:2" x14ac:dyDescent="0.25">
      <c r="A3" s="2" t="s">
        <v>341</v>
      </c>
      <c r="B3" t="s">
        <v>344</v>
      </c>
    </row>
    <row r="4" spans="1:2" x14ac:dyDescent="0.25">
      <c r="A4" s="3" t="s">
        <v>256</v>
      </c>
      <c r="B4">
        <v>677</v>
      </c>
    </row>
    <row r="5" spans="1:2" x14ac:dyDescent="0.25">
      <c r="A5" s="3" t="s">
        <v>51</v>
      </c>
      <c r="B5">
        <v>2970</v>
      </c>
    </row>
    <row r="6" spans="1:2" x14ac:dyDescent="0.25">
      <c r="A6" s="3" t="s">
        <v>211</v>
      </c>
      <c r="B6">
        <v>2862</v>
      </c>
    </row>
    <row r="7" spans="1:2" x14ac:dyDescent="0.25">
      <c r="A7" s="3" t="s">
        <v>110</v>
      </c>
      <c r="B7">
        <v>1919</v>
      </c>
    </row>
    <row r="8" spans="1:2" x14ac:dyDescent="0.25">
      <c r="A8" s="3" t="s">
        <v>13</v>
      </c>
      <c r="B8">
        <v>2147</v>
      </c>
    </row>
    <row r="9" spans="1:2" x14ac:dyDescent="0.25">
      <c r="A9" s="3" t="s">
        <v>218</v>
      </c>
      <c r="B9">
        <v>1096</v>
      </c>
    </row>
    <row r="10" spans="1:2" x14ac:dyDescent="0.25">
      <c r="A10" s="3" t="s">
        <v>195</v>
      </c>
      <c r="B10">
        <v>664</v>
      </c>
    </row>
    <row r="11" spans="1:2" x14ac:dyDescent="0.25">
      <c r="A11" s="3" t="s">
        <v>68</v>
      </c>
      <c r="B11">
        <v>3314</v>
      </c>
    </row>
    <row r="12" spans="1:2" x14ac:dyDescent="0.25">
      <c r="A12" s="3" t="s">
        <v>129</v>
      </c>
      <c r="B12">
        <v>912</v>
      </c>
    </row>
    <row r="13" spans="1:2" x14ac:dyDescent="0.25">
      <c r="A13" s="3" t="s">
        <v>72</v>
      </c>
      <c r="B13">
        <v>1104</v>
      </c>
    </row>
    <row r="14" spans="1:2" x14ac:dyDescent="0.25">
      <c r="A14" s="3" t="s">
        <v>175</v>
      </c>
      <c r="B14">
        <v>802</v>
      </c>
    </row>
    <row r="15" spans="1:2" x14ac:dyDescent="0.25">
      <c r="A15" s="3" t="s">
        <v>59</v>
      </c>
      <c r="B15">
        <v>2362</v>
      </c>
    </row>
    <row r="16" spans="1:2" x14ac:dyDescent="0.25">
      <c r="A16" s="3" t="s">
        <v>145</v>
      </c>
      <c r="B16">
        <v>2032</v>
      </c>
    </row>
    <row r="17" spans="1:2" x14ac:dyDescent="0.25">
      <c r="A17" s="3" t="s">
        <v>134</v>
      </c>
      <c r="B17">
        <v>679</v>
      </c>
    </row>
    <row r="18" spans="1:2" x14ac:dyDescent="0.25">
      <c r="A18" s="3" t="s">
        <v>118</v>
      </c>
      <c r="B18">
        <v>1177</v>
      </c>
    </row>
    <row r="19" spans="1:2" x14ac:dyDescent="0.25">
      <c r="A19" s="3" t="s">
        <v>170</v>
      </c>
      <c r="B19">
        <v>2082</v>
      </c>
    </row>
    <row r="20" spans="1:2" x14ac:dyDescent="0.25">
      <c r="A20" s="3" t="s">
        <v>64</v>
      </c>
      <c r="B20">
        <v>3268</v>
      </c>
    </row>
    <row r="21" spans="1:2" x14ac:dyDescent="0.25">
      <c r="A21" s="3" t="s">
        <v>273</v>
      </c>
      <c r="B21">
        <v>1160</v>
      </c>
    </row>
    <row r="22" spans="1:2" x14ac:dyDescent="0.25">
      <c r="A22" s="3" t="s">
        <v>182</v>
      </c>
      <c r="B22">
        <v>493</v>
      </c>
    </row>
    <row r="23" spans="1:2" x14ac:dyDescent="0.25">
      <c r="A23" s="3" t="s">
        <v>36</v>
      </c>
      <c r="B23">
        <v>3049</v>
      </c>
    </row>
    <row r="24" spans="1:2" x14ac:dyDescent="0.25">
      <c r="A24" s="3" t="s">
        <v>26</v>
      </c>
      <c r="B24">
        <v>2572</v>
      </c>
    </row>
    <row r="25" spans="1:2" x14ac:dyDescent="0.25">
      <c r="A25" s="3" t="s">
        <v>46</v>
      </c>
      <c r="B25">
        <v>2061</v>
      </c>
    </row>
    <row r="26" spans="1:2" x14ac:dyDescent="0.25">
      <c r="A26" s="3" t="s">
        <v>269</v>
      </c>
      <c r="B26">
        <v>669</v>
      </c>
    </row>
    <row r="27" spans="1:2" x14ac:dyDescent="0.25">
      <c r="A27" s="3" t="s">
        <v>231</v>
      </c>
      <c r="B27">
        <v>1396</v>
      </c>
    </row>
    <row r="28" spans="1:2" x14ac:dyDescent="0.25">
      <c r="A28" s="3" t="s">
        <v>178</v>
      </c>
      <c r="B28">
        <v>2389</v>
      </c>
    </row>
    <row r="29" spans="1:2" x14ac:dyDescent="0.25">
      <c r="A29" s="3" t="s">
        <v>20</v>
      </c>
      <c r="B29">
        <v>445</v>
      </c>
    </row>
    <row r="30" spans="1:2" x14ac:dyDescent="0.25">
      <c r="A30" s="3" t="s">
        <v>41</v>
      </c>
      <c r="B30">
        <v>1625</v>
      </c>
    </row>
    <row r="31" spans="1:2" x14ac:dyDescent="0.25">
      <c r="A31" s="3" t="s">
        <v>102</v>
      </c>
      <c r="B31">
        <v>2646</v>
      </c>
    </row>
    <row r="32" spans="1:2" x14ac:dyDescent="0.25">
      <c r="A32" s="3" t="s">
        <v>262</v>
      </c>
      <c r="B32">
        <v>416</v>
      </c>
    </row>
    <row r="33" spans="1:2" x14ac:dyDescent="0.25">
      <c r="A33" s="3" t="s">
        <v>141</v>
      </c>
      <c r="B33">
        <v>1936</v>
      </c>
    </row>
    <row r="34" spans="1:2" x14ac:dyDescent="0.25">
      <c r="A34" s="3" t="s">
        <v>83</v>
      </c>
      <c r="B34">
        <v>993</v>
      </c>
    </row>
    <row r="35" spans="1:2" x14ac:dyDescent="0.25">
      <c r="A35" s="3" t="s">
        <v>106</v>
      </c>
      <c r="B35">
        <v>2187</v>
      </c>
    </row>
    <row r="36" spans="1:2" x14ac:dyDescent="0.25">
      <c r="A36" s="3" t="s">
        <v>355</v>
      </c>
      <c r="B36">
        <v>541.04</v>
      </c>
    </row>
    <row r="37" spans="1:2" x14ac:dyDescent="0.25">
      <c r="A37" s="3" t="s">
        <v>342</v>
      </c>
      <c r="B37">
        <v>54645.04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3E507-D73E-4A15-B07A-8E2E935D761F}">
  <dimension ref="A3:B105"/>
  <sheetViews>
    <sheetView topLeftCell="A18" zoomScale="93" workbookViewId="0">
      <selection activeCell="E54" sqref="E54"/>
    </sheetView>
  </sheetViews>
  <sheetFormatPr defaultRowHeight="15" x14ac:dyDescent="0.25"/>
  <cols>
    <col min="1" max="1" width="30.85546875" bestFit="1" customWidth="1"/>
    <col min="2" max="2" width="15.5703125" bestFit="1" customWidth="1"/>
  </cols>
  <sheetData>
    <row r="3" spans="1:2" x14ac:dyDescent="0.25">
      <c r="A3" s="2" t="s">
        <v>341</v>
      </c>
      <c r="B3" t="s">
        <v>343</v>
      </c>
    </row>
    <row r="4" spans="1:2" x14ac:dyDescent="0.25">
      <c r="A4" s="3" t="s">
        <v>177</v>
      </c>
      <c r="B4">
        <v>999</v>
      </c>
    </row>
    <row r="5" spans="1:2" x14ac:dyDescent="0.25">
      <c r="A5" s="3" t="s">
        <v>303</v>
      </c>
      <c r="B5">
        <v>998</v>
      </c>
    </row>
    <row r="6" spans="1:2" x14ac:dyDescent="0.25">
      <c r="A6" s="3" t="s">
        <v>133</v>
      </c>
      <c r="B6">
        <v>985</v>
      </c>
    </row>
    <row r="7" spans="1:2" x14ac:dyDescent="0.25">
      <c r="A7" s="3" t="s">
        <v>240</v>
      </c>
      <c r="B7">
        <v>982</v>
      </c>
    </row>
    <row r="8" spans="1:2" x14ac:dyDescent="0.25">
      <c r="A8" s="3" t="s">
        <v>88</v>
      </c>
      <c r="B8">
        <v>982</v>
      </c>
    </row>
    <row r="9" spans="1:2" x14ac:dyDescent="0.25">
      <c r="A9" s="3" t="s">
        <v>181</v>
      </c>
      <c r="B9">
        <v>935</v>
      </c>
    </row>
    <row r="10" spans="1:2" x14ac:dyDescent="0.25">
      <c r="A10" s="3" t="s">
        <v>169</v>
      </c>
      <c r="B10">
        <v>913</v>
      </c>
    </row>
    <row r="11" spans="1:2" x14ac:dyDescent="0.25">
      <c r="A11" s="3" t="s">
        <v>122</v>
      </c>
      <c r="B11">
        <v>909</v>
      </c>
    </row>
    <row r="12" spans="1:2" x14ac:dyDescent="0.25">
      <c r="A12" s="3" t="s">
        <v>148</v>
      </c>
      <c r="B12">
        <v>904</v>
      </c>
    </row>
    <row r="13" spans="1:2" x14ac:dyDescent="0.25">
      <c r="A13" s="3" t="s">
        <v>120</v>
      </c>
      <c r="B13">
        <v>900</v>
      </c>
    </row>
    <row r="14" spans="1:2" x14ac:dyDescent="0.25">
      <c r="A14" s="3" t="s">
        <v>128</v>
      </c>
      <c r="B14">
        <v>858</v>
      </c>
    </row>
    <row r="15" spans="1:2" x14ac:dyDescent="0.25">
      <c r="A15" s="3" t="s">
        <v>58</v>
      </c>
      <c r="B15">
        <v>845</v>
      </c>
    </row>
    <row r="16" spans="1:2" x14ac:dyDescent="0.25">
      <c r="A16" s="3" t="s">
        <v>209</v>
      </c>
      <c r="B16">
        <v>820</v>
      </c>
    </row>
    <row r="17" spans="1:2" x14ac:dyDescent="0.25">
      <c r="A17" s="3" t="s">
        <v>280</v>
      </c>
      <c r="B17">
        <v>800</v>
      </c>
    </row>
    <row r="18" spans="1:2" x14ac:dyDescent="0.25">
      <c r="A18" s="3" t="s">
        <v>214</v>
      </c>
      <c r="B18">
        <v>791</v>
      </c>
    </row>
    <row r="19" spans="1:2" x14ac:dyDescent="0.25">
      <c r="A19" s="3" t="s">
        <v>117</v>
      </c>
      <c r="B19">
        <v>784</v>
      </c>
    </row>
    <row r="20" spans="1:2" x14ac:dyDescent="0.25">
      <c r="A20" s="3" t="s">
        <v>166</v>
      </c>
      <c r="B20">
        <v>781</v>
      </c>
    </row>
    <row r="21" spans="1:2" x14ac:dyDescent="0.25">
      <c r="A21" s="3" t="s">
        <v>206</v>
      </c>
      <c r="B21">
        <v>777</v>
      </c>
    </row>
    <row r="22" spans="1:2" x14ac:dyDescent="0.25">
      <c r="A22" s="3" t="s">
        <v>252</v>
      </c>
      <c r="B22">
        <v>750</v>
      </c>
    </row>
    <row r="23" spans="1:2" x14ac:dyDescent="0.25">
      <c r="A23" s="3" t="s">
        <v>291</v>
      </c>
      <c r="B23">
        <v>748</v>
      </c>
    </row>
    <row r="24" spans="1:2" x14ac:dyDescent="0.25">
      <c r="A24" s="3" t="s">
        <v>197</v>
      </c>
      <c r="B24">
        <v>731</v>
      </c>
    </row>
    <row r="25" spans="1:2" x14ac:dyDescent="0.25">
      <c r="A25" s="3" t="s">
        <v>250</v>
      </c>
      <c r="B25">
        <v>731</v>
      </c>
    </row>
    <row r="26" spans="1:2" x14ac:dyDescent="0.25">
      <c r="A26" s="3" t="s">
        <v>71</v>
      </c>
      <c r="B26">
        <v>689</v>
      </c>
    </row>
    <row r="27" spans="1:2" x14ac:dyDescent="0.25">
      <c r="A27" s="3" t="s">
        <v>227</v>
      </c>
      <c r="B27">
        <v>689</v>
      </c>
    </row>
    <row r="28" spans="1:2" x14ac:dyDescent="0.25">
      <c r="A28" s="3" t="s">
        <v>272</v>
      </c>
      <c r="B28">
        <v>685</v>
      </c>
    </row>
    <row r="29" spans="1:2" x14ac:dyDescent="0.25">
      <c r="A29" s="3" t="s">
        <v>109</v>
      </c>
      <c r="B29">
        <v>677</v>
      </c>
    </row>
    <row r="30" spans="1:2" x14ac:dyDescent="0.25">
      <c r="A30" s="3" t="s">
        <v>114</v>
      </c>
      <c r="B30">
        <v>664</v>
      </c>
    </row>
    <row r="31" spans="1:2" x14ac:dyDescent="0.25">
      <c r="A31" s="3" t="s">
        <v>163</v>
      </c>
      <c r="B31">
        <v>640</v>
      </c>
    </row>
    <row r="32" spans="1:2" x14ac:dyDescent="0.25">
      <c r="A32" s="3" t="s">
        <v>157</v>
      </c>
      <c r="B32">
        <v>635</v>
      </c>
    </row>
    <row r="33" spans="1:2" x14ac:dyDescent="0.25">
      <c r="A33" s="3" t="s">
        <v>277</v>
      </c>
      <c r="B33">
        <v>630</v>
      </c>
    </row>
    <row r="34" spans="1:2" x14ac:dyDescent="0.25">
      <c r="A34" s="3" t="s">
        <v>234</v>
      </c>
      <c r="B34">
        <v>621</v>
      </c>
    </row>
    <row r="35" spans="1:2" x14ac:dyDescent="0.25">
      <c r="A35" s="3" t="s">
        <v>194</v>
      </c>
      <c r="B35">
        <v>599</v>
      </c>
    </row>
    <row r="36" spans="1:2" x14ac:dyDescent="0.25">
      <c r="A36" s="3" t="s">
        <v>307</v>
      </c>
      <c r="B36">
        <v>593</v>
      </c>
    </row>
    <row r="37" spans="1:2" x14ac:dyDescent="0.25">
      <c r="A37" s="3" t="s">
        <v>137</v>
      </c>
      <c r="B37">
        <v>576</v>
      </c>
    </row>
    <row r="38" spans="1:2" x14ac:dyDescent="0.25">
      <c r="A38" s="3" t="s">
        <v>314</v>
      </c>
      <c r="B38">
        <v>541</v>
      </c>
    </row>
    <row r="39" spans="1:2" x14ac:dyDescent="0.25">
      <c r="A39" s="3" t="s">
        <v>101</v>
      </c>
      <c r="B39">
        <v>529</v>
      </c>
    </row>
    <row r="40" spans="1:2" x14ac:dyDescent="0.25">
      <c r="A40" s="3" t="s">
        <v>318</v>
      </c>
      <c r="B40">
        <v>519</v>
      </c>
    </row>
    <row r="41" spans="1:2" x14ac:dyDescent="0.25">
      <c r="A41" s="3" t="s">
        <v>224</v>
      </c>
      <c r="B41">
        <v>514</v>
      </c>
    </row>
    <row r="42" spans="1:2" x14ac:dyDescent="0.25">
      <c r="A42" s="3" t="s">
        <v>200</v>
      </c>
      <c r="B42">
        <v>511</v>
      </c>
    </row>
    <row r="43" spans="1:2" x14ac:dyDescent="0.25">
      <c r="A43" s="3" t="s">
        <v>19</v>
      </c>
      <c r="B43">
        <v>502</v>
      </c>
    </row>
    <row r="44" spans="1:2" x14ac:dyDescent="0.25">
      <c r="A44" s="3" t="s">
        <v>230</v>
      </c>
      <c r="B44">
        <v>489</v>
      </c>
    </row>
    <row r="45" spans="1:2" x14ac:dyDescent="0.25">
      <c r="A45" s="3" t="s">
        <v>245</v>
      </c>
      <c r="B45">
        <v>489</v>
      </c>
    </row>
    <row r="46" spans="1:2" x14ac:dyDescent="0.25">
      <c r="A46" s="3" t="s">
        <v>188</v>
      </c>
      <c r="B46">
        <v>488</v>
      </c>
    </row>
    <row r="47" spans="1:2" x14ac:dyDescent="0.25">
      <c r="A47" s="3" t="s">
        <v>154</v>
      </c>
      <c r="B47">
        <v>480</v>
      </c>
    </row>
    <row r="48" spans="1:2" x14ac:dyDescent="0.25">
      <c r="A48" s="3" t="s">
        <v>323</v>
      </c>
      <c r="B48">
        <v>472</v>
      </c>
    </row>
    <row r="49" spans="1:2" x14ac:dyDescent="0.25">
      <c r="A49" s="3" t="s">
        <v>54</v>
      </c>
      <c r="B49">
        <v>454</v>
      </c>
    </row>
    <row r="50" spans="1:2" x14ac:dyDescent="0.25">
      <c r="A50" s="3" t="s">
        <v>237</v>
      </c>
      <c r="B50">
        <v>440</v>
      </c>
    </row>
    <row r="51" spans="1:2" x14ac:dyDescent="0.25">
      <c r="A51" s="3" t="s">
        <v>40</v>
      </c>
      <c r="B51">
        <v>426</v>
      </c>
    </row>
    <row r="52" spans="1:2" x14ac:dyDescent="0.25">
      <c r="A52" s="3" t="s">
        <v>301</v>
      </c>
      <c r="B52">
        <v>423</v>
      </c>
    </row>
    <row r="53" spans="1:2" x14ac:dyDescent="0.25">
      <c r="A53" s="3" t="s">
        <v>210</v>
      </c>
      <c r="B53">
        <v>408</v>
      </c>
    </row>
    <row r="54" spans="1:2" x14ac:dyDescent="0.25">
      <c r="A54" s="3" t="s">
        <v>151</v>
      </c>
      <c r="B54">
        <v>407</v>
      </c>
    </row>
    <row r="55" spans="1:2" x14ac:dyDescent="0.25">
      <c r="A55" s="3" t="s">
        <v>316</v>
      </c>
      <c r="B55">
        <v>405</v>
      </c>
    </row>
    <row r="56" spans="1:2" x14ac:dyDescent="0.25">
      <c r="A56" s="3" t="s">
        <v>321</v>
      </c>
      <c r="B56">
        <v>393</v>
      </c>
    </row>
    <row r="57" spans="1:2" x14ac:dyDescent="0.25">
      <c r="A57" s="3" t="s">
        <v>325</v>
      </c>
      <c r="B57">
        <v>382</v>
      </c>
    </row>
    <row r="58" spans="1:2" x14ac:dyDescent="0.25">
      <c r="A58" s="3" t="s">
        <v>328</v>
      </c>
      <c r="B58">
        <v>375</v>
      </c>
    </row>
    <row r="59" spans="1:2" x14ac:dyDescent="0.25">
      <c r="A59" s="3" t="s">
        <v>217</v>
      </c>
      <c r="B59">
        <v>370</v>
      </c>
    </row>
    <row r="60" spans="1:2" x14ac:dyDescent="0.25">
      <c r="A60" s="3" t="s">
        <v>293</v>
      </c>
      <c r="B60">
        <v>367</v>
      </c>
    </row>
    <row r="61" spans="1:2" x14ac:dyDescent="0.25">
      <c r="A61" s="3" t="s">
        <v>283</v>
      </c>
      <c r="B61">
        <v>365</v>
      </c>
    </row>
    <row r="62" spans="1:2" x14ac:dyDescent="0.25">
      <c r="A62" s="3" t="s">
        <v>296</v>
      </c>
      <c r="B62">
        <v>352</v>
      </c>
    </row>
    <row r="63" spans="1:2" x14ac:dyDescent="0.25">
      <c r="A63" s="3" t="s">
        <v>125</v>
      </c>
      <c r="B63">
        <v>350</v>
      </c>
    </row>
    <row r="64" spans="1:2" x14ac:dyDescent="0.25">
      <c r="A64" s="3" t="s">
        <v>305</v>
      </c>
      <c r="B64">
        <v>342</v>
      </c>
    </row>
    <row r="65" spans="1:2" x14ac:dyDescent="0.25">
      <c r="A65" s="3" t="s">
        <v>98</v>
      </c>
      <c r="B65">
        <v>340</v>
      </c>
    </row>
    <row r="66" spans="1:2" x14ac:dyDescent="0.25">
      <c r="A66" s="3" t="s">
        <v>82</v>
      </c>
      <c r="B66">
        <v>316</v>
      </c>
    </row>
    <row r="67" spans="1:2" x14ac:dyDescent="0.25">
      <c r="A67" s="3" t="s">
        <v>312</v>
      </c>
      <c r="B67">
        <v>307</v>
      </c>
    </row>
    <row r="68" spans="1:2" x14ac:dyDescent="0.25">
      <c r="A68" s="3" t="s">
        <v>258</v>
      </c>
      <c r="B68">
        <v>293</v>
      </c>
    </row>
    <row r="69" spans="1:2" x14ac:dyDescent="0.25">
      <c r="A69" s="3" t="s">
        <v>330</v>
      </c>
      <c r="B69">
        <v>289</v>
      </c>
    </row>
    <row r="70" spans="1:2" x14ac:dyDescent="0.25">
      <c r="A70" s="3" t="s">
        <v>144</v>
      </c>
      <c r="B70">
        <v>283</v>
      </c>
    </row>
    <row r="71" spans="1:2" x14ac:dyDescent="0.25">
      <c r="A71" s="3" t="s">
        <v>75</v>
      </c>
      <c r="B71">
        <v>279</v>
      </c>
    </row>
    <row r="72" spans="1:2" x14ac:dyDescent="0.25">
      <c r="A72" s="3" t="s">
        <v>285</v>
      </c>
      <c r="B72">
        <v>273</v>
      </c>
    </row>
    <row r="73" spans="1:2" x14ac:dyDescent="0.25">
      <c r="A73" s="3" t="s">
        <v>340</v>
      </c>
      <c r="B73">
        <v>265</v>
      </c>
    </row>
    <row r="74" spans="1:2" x14ac:dyDescent="0.25">
      <c r="A74" s="3" t="s">
        <v>185</v>
      </c>
      <c r="B74">
        <v>259</v>
      </c>
    </row>
    <row r="75" spans="1:2" x14ac:dyDescent="0.25">
      <c r="A75" s="3" t="s">
        <v>63</v>
      </c>
      <c r="B75">
        <v>257</v>
      </c>
    </row>
    <row r="76" spans="1:2" x14ac:dyDescent="0.25">
      <c r="A76" s="3" t="s">
        <v>335</v>
      </c>
      <c r="B76">
        <v>241</v>
      </c>
    </row>
    <row r="77" spans="1:2" x14ac:dyDescent="0.25">
      <c r="A77" s="3" t="s">
        <v>160</v>
      </c>
      <c r="B77">
        <v>234</v>
      </c>
    </row>
    <row r="78" spans="1:2" x14ac:dyDescent="0.25">
      <c r="A78" s="3" t="s">
        <v>332</v>
      </c>
      <c r="B78">
        <v>232</v>
      </c>
    </row>
    <row r="79" spans="1:2" x14ac:dyDescent="0.25">
      <c r="A79" s="3" t="s">
        <v>25</v>
      </c>
      <c r="B79">
        <v>227</v>
      </c>
    </row>
    <row r="80" spans="1:2" x14ac:dyDescent="0.25">
      <c r="A80" s="3" t="s">
        <v>221</v>
      </c>
      <c r="B80">
        <v>224</v>
      </c>
    </row>
    <row r="81" spans="1:2" x14ac:dyDescent="0.25">
      <c r="A81" s="3" t="s">
        <v>67</v>
      </c>
      <c r="B81">
        <v>221</v>
      </c>
    </row>
    <row r="82" spans="1:2" x14ac:dyDescent="0.25">
      <c r="A82" s="3" t="s">
        <v>203</v>
      </c>
      <c r="B82">
        <v>214</v>
      </c>
    </row>
    <row r="83" spans="1:2" x14ac:dyDescent="0.25">
      <c r="A83" s="3" t="s">
        <v>255</v>
      </c>
      <c r="B83">
        <v>206</v>
      </c>
    </row>
    <row r="84" spans="1:2" x14ac:dyDescent="0.25">
      <c r="A84" s="3" t="s">
        <v>105</v>
      </c>
      <c r="B84">
        <v>197</v>
      </c>
    </row>
    <row r="85" spans="1:2" x14ac:dyDescent="0.25">
      <c r="A85" s="3" t="s">
        <v>191</v>
      </c>
      <c r="B85">
        <v>161</v>
      </c>
    </row>
    <row r="86" spans="1:2" x14ac:dyDescent="0.25">
      <c r="A86" s="3" t="s">
        <v>50</v>
      </c>
      <c r="B86">
        <v>159</v>
      </c>
    </row>
    <row r="87" spans="1:2" x14ac:dyDescent="0.25">
      <c r="A87" s="3" t="s">
        <v>268</v>
      </c>
      <c r="B87">
        <v>148</v>
      </c>
    </row>
    <row r="88" spans="1:2" x14ac:dyDescent="0.25">
      <c r="A88" s="3" t="s">
        <v>248</v>
      </c>
      <c r="B88">
        <v>130</v>
      </c>
    </row>
    <row r="89" spans="1:2" x14ac:dyDescent="0.25">
      <c r="A89" s="3" t="s">
        <v>242</v>
      </c>
      <c r="B89">
        <v>124</v>
      </c>
    </row>
    <row r="90" spans="1:2" x14ac:dyDescent="0.25">
      <c r="A90" s="3" t="s">
        <v>30</v>
      </c>
      <c r="B90">
        <v>121</v>
      </c>
    </row>
    <row r="91" spans="1:2" x14ac:dyDescent="0.25">
      <c r="A91" s="3" t="s">
        <v>299</v>
      </c>
      <c r="B91">
        <v>103</v>
      </c>
    </row>
    <row r="92" spans="1:2" x14ac:dyDescent="0.25">
      <c r="A92" s="3" t="s">
        <v>140</v>
      </c>
      <c r="B92">
        <v>102</v>
      </c>
    </row>
    <row r="93" spans="1:2" x14ac:dyDescent="0.25">
      <c r="A93" s="3" t="s">
        <v>79</v>
      </c>
      <c r="B93">
        <v>101</v>
      </c>
    </row>
    <row r="94" spans="1:2" x14ac:dyDescent="0.25">
      <c r="A94" s="3" t="s">
        <v>174</v>
      </c>
      <c r="B94">
        <v>100</v>
      </c>
    </row>
    <row r="95" spans="1:2" x14ac:dyDescent="0.25">
      <c r="A95" s="3" t="s">
        <v>337</v>
      </c>
      <c r="B95">
        <v>71</v>
      </c>
    </row>
    <row r="96" spans="1:2" x14ac:dyDescent="0.25">
      <c r="A96" s="3" t="s">
        <v>45</v>
      </c>
      <c r="B96">
        <v>68</v>
      </c>
    </row>
    <row r="97" spans="1:2" x14ac:dyDescent="0.25">
      <c r="A97" s="3" t="s">
        <v>275</v>
      </c>
      <c r="B97">
        <v>59</v>
      </c>
    </row>
    <row r="98" spans="1:2" x14ac:dyDescent="0.25">
      <c r="A98" s="3" t="s">
        <v>288</v>
      </c>
      <c r="B98">
        <v>50</v>
      </c>
    </row>
    <row r="99" spans="1:2" x14ac:dyDescent="0.25">
      <c r="A99" s="3" t="s">
        <v>310</v>
      </c>
      <c r="B99">
        <v>30</v>
      </c>
    </row>
    <row r="100" spans="1:2" x14ac:dyDescent="0.25">
      <c r="A100" s="3" t="s">
        <v>265</v>
      </c>
      <c r="B100">
        <v>12</v>
      </c>
    </row>
    <row r="101" spans="1:2" x14ac:dyDescent="0.25">
      <c r="A101" s="3" t="s">
        <v>261</v>
      </c>
      <c r="B101">
        <v>5</v>
      </c>
    </row>
    <row r="102" spans="1:2" x14ac:dyDescent="0.25">
      <c r="A102" s="3" t="s">
        <v>93</v>
      </c>
      <c r="B102">
        <v>3</v>
      </c>
    </row>
    <row r="103" spans="1:2" x14ac:dyDescent="0.25">
      <c r="A103" s="3" t="s">
        <v>35</v>
      </c>
      <c r="B103">
        <v>1</v>
      </c>
    </row>
    <row r="104" spans="1:2" x14ac:dyDescent="0.25">
      <c r="A104" s="3" t="s">
        <v>355</v>
      </c>
    </row>
    <row r="105" spans="1:2" x14ac:dyDescent="0.25">
      <c r="A105" s="3" t="s">
        <v>342</v>
      </c>
      <c r="B105">
        <v>451.19</v>
      </c>
    </row>
  </sheetData>
  <conditionalFormatting pivot="1" sqref="B4:B103">
    <cfRule type="top10" dxfId="40" priority="2" rank="10"/>
  </conditionalFormatting>
  <conditionalFormatting pivot="1" sqref="B4:B103">
    <cfRule type="top10" dxfId="39" priority="1" bottom="1"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B9B03-1EE2-4832-9FC5-ACDB7E04881D}">
  <dimension ref="A3:B37"/>
  <sheetViews>
    <sheetView zoomScale="85" workbookViewId="0">
      <selection activeCell="D14" sqref="D14"/>
    </sheetView>
  </sheetViews>
  <sheetFormatPr defaultRowHeight="15" x14ac:dyDescent="0.25"/>
  <cols>
    <col min="1" max="1" width="28.5703125" bestFit="1" customWidth="1"/>
    <col min="2" max="2" width="19.42578125" bestFit="1" customWidth="1"/>
  </cols>
  <sheetData>
    <row r="3" spans="1:2" x14ac:dyDescent="0.25">
      <c r="A3" s="2" t="s">
        <v>341</v>
      </c>
      <c r="B3" t="s">
        <v>345</v>
      </c>
    </row>
    <row r="4" spans="1:2" x14ac:dyDescent="0.25">
      <c r="A4" s="3" t="s">
        <v>256</v>
      </c>
      <c r="B4" s="6">
        <v>0.01</v>
      </c>
    </row>
    <row r="5" spans="1:2" x14ac:dyDescent="0.25">
      <c r="A5" s="3" t="s">
        <v>51</v>
      </c>
      <c r="B5" s="6">
        <v>0.06</v>
      </c>
    </row>
    <row r="6" spans="1:2" x14ac:dyDescent="0.25">
      <c r="A6" s="3" t="s">
        <v>211</v>
      </c>
      <c r="B6" s="6">
        <v>0.04</v>
      </c>
    </row>
    <row r="7" spans="1:2" x14ac:dyDescent="0.25">
      <c r="A7" s="3" t="s">
        <v>110</v>
      </c>
      <c r="B7" s="6">
        <v>0.04</v>
      </c>
    </row>
    <row r="8" spans="1:2" x14ac:dyDescent="0.25">
      <c r="A8" s="3" t="s">
        <v>13</v>
      </c>
      <c r="B8" s="6">
        <v>0.04</v>
      </c>
    </row>
    <row r="9" spans="1:2" x14ac:dyDescent="0.25">
      <c r="A9" s="3" t="s">
        <v>218</v>
      </c>
      <c r="B9" s="6">
        <v>0.02</v>
      </c>
    </row>
    <row r="10" spans="1:2" x14ac:dyDescent="0.25">
      <c r="A10" s="3" t="s">
        <v>195</v>
      </c>
      <c r="B10" s="6">
        <v>0.03</v>
      </c>
    </row>
    <row r="11" spans="1:2" x14ac:dyDescent="0.25">
      <c r="A11" s="3" t="s">
        <v>68</v>
      </c>
      <c r="B11" s="6">
        <v>0.06</v>
      </c>
    </row>
    <row r="12" spans="1:2" x14ac:dyDescent="0.25">
      <c r="A12" s="3" t="s">
        <v>129</v>
      </c>
      <c r="B12" s="6">
        <v>0.01</v>
      </c>
    </row>
    <row r="13" spans="1:2" x14ac:dyDescent="0.25">
      <c r="A13" s="3" t="s">
        <v>72</v>
      </c>
      <c r="B13" s="6">
        <v>0.03</v>
      </c>
    </row>
    <row r="14" spans="1:2" x14ac:dyDescent="0.25">
      <c r="A14" s="3" t="s">
        <v>175</v>
      </c>
      <c r="B14" s="6">
        <v>0.01</v>
      </c>
    </row>
    <row r="15" spans="1:2" x14ac:dyDescent="0.25">
      <c r="A15" s="3" t="s">
        <v>59</v>
      </c>
      <c r="B15" s="6">
        <v>0.03</v>
      </c>
    </row>
    <row r="16" spans="1:2" x14ac:dyDescent="0.25">
      <c r="A16" s="3" t="s">
        <v>145</v>
      </c>
      <c r="B16" s="6">
        <v>0.04</v>
      </c>
    </row>
    <row r="17" spans="1:2" x14ac:dyDescent="0.25">
      <c r="A17" s="3" t="s">
        <v>134</v>
      </c>
      <c r="B17" s="6">
        <v>0.02</v>
      </c>
    </row>
    <row r="18" spans="1:2" x14ac:dyDescent="0.25">
      <c r="A18" s="3" t="s">
        <v>118</v>
      </c>
      <c r="B18" s="6">
        <v>0.02</v>
      </c>
    </row>
    <row r="19" spans="1:2" x14ac:dyDescent="0.25">
      <c r="A19" s="3" t="s">
        <v>170</v>
      </c>
      <c r="B19" s="6">
        <v>0.03</v>
      </c>
    </row>
    <row r="20" spans="1:2" x14ac:dyDescent="0.25">
      <c r="A20" s="3" t="s">
        <v>64</v>
      </c>
      <c r="B20" s="6">
        <v>0.06</v>
      </c>
    </row>
    <row r="21" spans="1:2" x14ac:dyDescent="0.25">
      <c r="A21" s="3" t="s">
        <v>273</v>
      </c>
      <c r="B21" s="6">
        <v>0.02</v>
      </c>
    </row>
    <row r="22" spans="1:2" x14ac:dyDescent="0.25">
      <c r="A22" s="3" t="s">
        <v>182</v>
      </c>
      <c r="B22" s="6">
        <v>0.02</v>
      </c>
    </row>
    <row r="23" spans="1:2" x14ac:dyDescent="0.25">
      <c r="A23" s="3" t="s">
        <v>36</v>
      </c>
      <c r="B23" s="6">
        <v>0.05</v>
      </c>
    </row>
    <row r="24" spans="1:2" x14ac:dyDescent="0.25">
      <c r="A24" s="3" t="s">
        <v>26</v>
      </c>
      <c r="B24" s="6">
        <v>0.03</v>
      </c>
    </row>
    <row r="25" spans="1:2" x14ac:dyDescent="0.25">
      <c r="A25" s="3" t="s">
        <v>46</v>
      </c>
      <c r="B25" s="6">
        <v>0.03</v>
      </c>
    </row>
    <row r="26" spans="1:2" x14ac:dyDescent="0.25">
      <c r="A26" s="3" t="s">
        <v>269</v>
      </c>
      <c r="B26" s="6">
        <v>0.02</v>
      </c>
    </row>
    <row r="27" spans="1:2" x14ac:dyDescent="0.25">
      <c r="A27" s="3" t="s">
        <v>231</v>
      </c>
      <c r="B27" s="6">
        <v>0.02</v>
      </c>
    </row>
    <row r="28" spans="1:2" x14ac:dyDescent="0.25">
      <c r="A28" s="3" t="s">
        <v>178</v>
      </c>
      <c r="B28" s="6">
        <v>0.05</v>
      </c>
    </row>
    <row r="29" spans="1:2" x14ac:dyDescent="0.25">
      <c r="A29" s="3" t="s">
        <v>20</v>
      </c>
      <c r="B29" s="6">
        <v>0.02</v>
      </c>
    </row>
    <row r="30" spans="1:2" x14ac:dyDescent="0.25">
      <c r="A30" s="3" t="s">
        <v>41</v>
      </c>
      <c r="B30" s="6">
        <v>0.03</v>
      </c>
    </row>
    <row r="31" spans="1:2" x14ac:dyDescent="0.25">
      <c r="A31" s="3" t="s">
        <v>102</v>
      </c>
      <c r="B31" s="6">
        <v>0.04</v>
      </c>
    </row>
    <row r="32" spans="1:2" x14ac:dyDescent="0.25">
      <c r="A32" s="3" t="s">
        <v>262</v>
      </c>
      <c r="B32" s="6">
        <v>0.02</v>
      </c>
    </row>
    <row r="33" spans="1:2" x14ac:dyDescent="0.25">
      <c r="A33" s="3" t="s">
        <v>141</v>
      </c>
      <c r="B33" s="6">
        <v>0.03</v>
      </c>
    </row>
    <row r="34" spans="1:2" x14ac:dyDescent="0.25">
      <c r="A34" s="3" t="s">
        <v>83</v>
      </c>
      <c r="B34" s="6">
        <v>0.02</v>
      </c>
    </row>
    <row r="35" spans="1:2" x14ac:dyDescent="0.25">
      <c r="A35" s="3" t="s">
        <v>106</v>
      </c>
      <c r="B35" s="6">
        <v>0.05</v>
      </c>
    </row>
    <row r="36" spans="1:2" x14ac:dyDescent="0.25">
      <c r="A36" s="3" t="s">
        <v>355</v>
      </c>
      <c r="B36" s="6">
        <v>0</v>
      </c>
    </row>
    <row r="37" spans="1:2" x14ac:dyDescent="0.25">
      <c r="A37" s="3" t="s">
        <v>342</v>
      </c>
      <c r="B37" s="6">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B04AF-65A8-4FC9-89A1-C767AC62DD56}">
  <dimension ref="A3:B105"/>
  <sheetViews>
    <sheetView workbookViewId="0">
      <selection activeCell="B4" sqref="B4:B103"/>
    </sheetView>
  </sheetViews>
  <sheetFormatPr defaultRowHeight="15" x14ac:dyDescent="0.25"/>
  <cols>
    <col min="1" max="1" width="30.85546875" bestFit="1" customWidth="1"/>
    <col min="2" max="3" width="12.7109375" bestFit="1" customWidth="1"/>
    <col min="4" max="4" width="22.28515625" bestFit="1" customWidth="1"/>
    <col min="5" max="5" width="14.5703125" bestFit="1" customWidth="1"/>
    <col min="6" max="6" width="18.140625" bestFit="1" customWidth="1"/>
    <col min="7" max="7" width="22.42578125" bestFit="1" customWidth="1"/>
    <col min="8" max="8" width="17" bestFit="1" customWidth="1"/>
    <col min="9" max="9" width="17.5703125" bestFit="1" customWidth="1"/>
    <col min="10" max="10" width="18" bestFit="1" customWidth="1"/>
    <col min="11" max="11" width="7.7109375" bestFit="1" customWidth="1"/>
    <col min="12" max="12" width="16.85546875" bestFit="1" customWidth="1"/>
    <col min="13" max="13" width="18.140625" bestFit="1" customWidth="1"/>
    <col min="14" max="14" width="10.7109375" bestFit="1" customWidth="1"/>
    <col min="15" max="15" width="9.28515625" bestFit="1" customWidth="1"/>
    <col min="16" max="16" width="15.28515625" bestFit="1" customWidth="1"/>
    <col min="17" max="17" width="8.5703125" bestFit="1" customWidth="1"/>
    <col min="18" max="18" width="17.85546875" bestFit="1" customWidth="1"/>
    <col min="19" max="19" width="15.5703125" bestFit="1" customWidth="1"/>
    <col min="20" max="20" width="12.28515625" bestFit="1" customWidth="1"/>
    <col min="21" max="21" width="13.5703125" bestFit="1" customWidth="1"/>
    <col min="22" max="22" width="18.42578125" bestFit="1" customWidth="1"/>
    <col min="23" max="23" width="20.7109375" bestFit="1" customWidth="1"/>
    <col min="24" max="24" width="8" bestFit="1" customWidth="1"/>
    <col min="25" max="25" width="14.5703125" bestFit="1" customWidth="1"/>
    <col min="26" max="26" width="15" bestFit="1" customWidth="1"/>
    <col min="27" max="27" width="17.28515625" bestFit="1" customWidth="1"/>
    <col min="28" max="28" width="8.7109375" bestFit="1" customWidth="1"/>
    <col min="29" max="29" width="13.140625" bestFit="1" customWidth="1"/>
    <col min="30" max="30" width="13.85546875" bestFit="1" customWidth="1"/>
    <col min="31" max="31" width="17.7109375" bestFit="1" customWidth="1"/>
    <col min="32" max="32" width="12.140625" bestFit="1" customWidth="1"/>
    <col min="33" max="33" width="17.85546875" bestFit="1" customWidth="1"/>
    <col min="34" max="34" width="11.28515625" bestFit="1" customWidth="1"/>
    <col min="35" max="35" width="9.5703125" bestFit="1" customWidth="1"/>
    <col min="36" max="36" width="12.5703125" bestFit="1" customWidth="1"/>
    <col min="37" max="37" width="18.7109375" bestFit="1" customWidth="1"/>
    <col min="38" max="38" width="22" bestFit="1" customWidth="1"/>
    <col min="39" max="40" width="20" bestFit="1" customWidth="1"/>
    <col min="41" max="41" width="23.140625" bestFit="1" customWidth="1"/>
    <col min="42" max="44" width="12.5703125" bestFit="1" customWidth="1"/>
    <col min="45" max="45" width="15.7109375" bestFit="1" customWidth="1"/>
    <col min="46" max="47" width="11.140625" bestFit="1" customWidth="1"/>
    <col min="48" max="48" width="14.28515625" bestFit="1" customWidth="1"/>
    <col min="49" max="50" width="17.140625" bestFit="1" customWidth="1"/>
    <col min="51" max="51" width="20.28515625" bestFit="1" customWidth="1"/>
    <col min="52" max="53" width="10.42578125" bestFit="1" customWidth="1"/>
    <col min="54" max="54" width="13.5703125" bestFit="1" customWidth="1"/>
    <col min="55" max="57" width="19.7109375" bestFit="1" customWidth="1"/>
    <col min="58" max="58" width="22.85546875" bestFit="1" customWidth="1"/>
    <col min="59" max="60" width="17.42578125" bestFit="1" customWidth="1"/>
    <col min="61" max="61" width="20.5703125" bestFit="1" customWidth="1"/>
    <col min="62" max="63" width="14.140625" bestFit="1" customWidth="1"/>
    <col min="64" max="64" width="17.42578125" bestFit="1" customWidth="1"/>
    <col min="65" max="69" width="15.42578125" bestFit="1" customWidth="1"/>
    <col min="70" max="70" width="18.5703125" bestFit="1" customWidth="1"/>
    <col min="71" max="73" width="20.28515625" bestFit="1" customWidth="1"/>
    <col min="74" max="74" width="23.42578125" bestFit="1" customWidth="1"/>
    <col min="75" max="76" width="22.5703125" bestFit="1" customWidth="1"/>
    <col min="77" max="77" width="25.85546875" bestFit="1" customWidth="1"/>
    <col min="78" max="79" width="9.85546875" bestFit="1" customWidth="1"/>
    <col min="80" max="80" width="12.85546875" bestFit="1" customWidth="1"/>
    <col min="81" max="82" width="16.42578125" bestFit="1" customWidth="1"/>
    <col min="83" max="83" width="19.5703125" bestFit="1" customWidth="1"/>
    <col min="84" max="87" width="16.85546875" bestFit="1" customWidth="1"/>
    <col min="88" max="88" width="20" bestFit="1" customWidth="1"/>
    <col min="89" max="90" width="19.140625" bestFit="1" customWidth="1"/>
    <col min="91" max="91" width="22.28515625" bestFit="1" customWidth="1"/>
    <col min="92" max="93" width="10.5703125" bestFit="1" customWidth="1"/>
    <col min="94" max="94" width="13.7109375" bestFit="1" customWidth="1"/>
    <col min="95" max="97" width="15" bestFit="1" customWidth="1"/>
    <col min="98" max="98" width="18.140625" bestFit="1" customWidth="1"/>
    <col min="99" max="100" width="15.7109375" bestFit="1" customWidth="1"/>
    <col min="101" max="101" width="18.85546875" bestFit="1" customWidth="1"/>
    <col min="102" max="103" width="19.5703125" bestFit="1" customWidth="1"/>
    <col min="104" max="104" width="22.7109375" bestFit="1" customWidth="1"/>
    <col min="105" max="106" width="14" bestFit="1" customWidth="1"/>
    <col min="107" max="107" width="17.28515625" bestFit="1" customWidth="1"/>
    <col min="108" max="111" width="19.7109375" bestFit="1" customWidth="1"/>
    <col min="112" max="112" width="22.85546875" bestFit="1" customWidth="1"/>
    <col min="113" max="114" width="11.28515625" bestFit="1" customWidth="1"/>
  </cols>
  <sheetData>
    <row r="3" spans="1:2" x14ac:dyDescent="0.25">
      <c r="A3" s="2" t="s">
        <v>341</v>
      </c>
      <c r="B3" t="s">
        <v>344</v>
      </c>
    </row>
    <row r="4" spans="1:2" x14ac:dyDescent="0.25">
      <c r="A4" s="3" t="s">
        <v>332</v>
      </c>
      <c r="B4">
        <v>998</v>
      </c>
    </row>
    <row r="5" spans="1:2" x14ac:dyDescent="0.25">
      <c r="A5" s="3" t="s">
        <v>137</v>
      </c>
      <c r="B5">
        <v>988</v>
      </c>
    </row>
    <row r="6" spans="1:2" x14ac:dyDescent="0.25">
      <c r="A6" s="3" t="s">
        <v>237</v>
      </c>
      <c r="B6">
        <v>973</v>
      </c>
    </row>
    <row r="7" spans="1:2" x14ac:dyDescent="0.25">
      <c r="A7" s="3" t="s">
        <v>188</v>
      </c>
      <c r="B7">
        <v>966</v>
      </c>
    </row>
    <row r="8" spans="1:2" x14ac:dyDescent="0.25">
      <c r="A8" s="3" t="s">
        <v>316</v>
      </c>
      <c r="B8">
        <v>950</v>
      </c>
    </row>
    <row r="9" spans="1:2" x14ac:dyDescent="0.25">
      <c r="A9" s="3" t="s">
        <v>166</v>
      </c>
      <c r="B9">
        <v>947</v>
      </c>
    </row>
    <row r="10" spans="1:2" x14ac:dyDescent="0.25">
      <c r="A10" s="3" t="s">
        <v>35</v>
      </c>
      <c r="B10">
        <v>925</v>
      </c>
    </row>
    <row r="11" spans="1:2" x14ac:dyDescent="0.25">
      <c r="A11" s="3" t="s">
        <v>210</v>
      </c>
      <c r="B11">
        <v>922</v>
      </c>
    </row>
    <row r="12" spans="1:2" x14ac:dyDescent="0.25">
      <c r="A12" s="3" t="s">
        <v>128</v>
      </c>
      <c r="B12">
        <v>912</v>
      </c>
    </row>
    <row r="13" spans="1:2" x14ac:dyDescent="0.25">
      <c r="A13" s="3" t="s">
        <v>30</v>
      </c>
      <c r="B13">
        <v>896</v>
      </c>
    </row>
    <row r="14" spans="1:2" x14ac:dyDescent="0.25">
      <c r="A14" s="3" t="s">
        <v>248</v>
      </c>
      <c r="B14">
        <v>876</v>
      </c>
    </row>
    <row r="15" spans="1:2" x14ac:dyDescent="0.25">
      <c r="A15" s="3" t="s">
        <v>45</v>
      </c>
      <c r="B15">
        <v>870</v>
      </c>
    </row>
    <row r="16" spans="1:2" x14ac:dyDescent="0.25">
      <c r="A16" s="3" t="s">
        <v>177</v>
      </c>
      <c r="B16">
        <v>853</v>
      </c>
    </row>
    <row r="17" spans="1:2" x14ac:dyDescent="0.25">
      <c r="A17" s="3" t="s">
        <v>101</v>
      </c>
      <c r="B17">
        <v>844</v>
      </c>
    </row>
    <row r="18" spans="1:2" x14ac:dyDescent="0.25">
      <c r="A18" s="3" t="s">
        <v>206</v>
      </c>
      <c r="B18">
        <v>832</v>
      </c>
    </row>
    <row r="19" spans="1:2" x14ac:dyDescent="0.25">
      <c r="A19" s="3" t="s">
        <v>214</v>
      </c>
      <c r="B19">
        <v>827</v>
      </c>
    </row>
    <row r="20" spans="1:2" x14ac:dyDescent="0.25">
      <c r="A20" s="3" t="s">
        <v>169</v>
      </c>
      <c r="B20">
        <v>820</v>
      </c>
    </row>
    <row r="21" spans="1:2" x14ac:dyDescent="0.25">
      <c r="A21" s="3" t="s">
        <v>75</v>
      </c>
      <c r="B21">
        <v>818</v>
      </c>
    </row>
    <row r="22" spans="1:2" x14ac:dyDescent="0.25">
      <c r="A22" s="3" t="s">
        <v>240</v>
      </c>
      <c r="B22">
        <v>804</v>
      </c>
    </row>
    <row r="23" spans="1:2" x14ac:dyDescent="0.25">
      <c r="A23" s="3" t="s">
        <v>174</v>
      </c>
      <c r="B23">
        <v>802</v>
      </c>
    </row>
    <row r="24" spans="1:2" x14ac:dyDescent="0.25">
      <c r="A24" s="3" t="s">
        <v>122</v>
      </c>
      <c r="B24">
        <v>797</v>
      </c>
    </row>
    <row r="25" spans="1:2" x14ac:dyDescent="0.25">
      <c r="A25" s="3" t="s">
        <v>163</v>
      </c>
      <c r="B25">
        <v>780</v>
      </c>
    </row>
    <row r="26" spans="1:2" x14ac:dyDescent="0.25">
      <c r="A26" s="3" t="s">
        <v>340</v>
      </c>
      <c r="B26">
        <v>774</v>
      </c>
    </row>
    <row r="27" spans="1:2" x14ac:dyDescent="0.25">
      <c r="A27" s="3" t="s">
        <v>301</v>
      </c>
      <c r="B27">
        <v>759</v>
      </c>
    </row>
    <row r="28" spans="1:2" x14ac:dyDescent="0.25">
      <c r="A28" s="3" t="s">
        <v>125</v>
      </c>
      <c r="B28">
        <v>756</v>
      </c>
    </row>
    <row r="29" spans="1:2" x14ac:dyDescent="0.25">
      <c r="A29" s="3" t="s">
        <v>272</v>
      </c>
      <c r="B29">
        <v>747</v>
      </c>
    </row>
    <row r="30" spans="1:2" x14ac:dyDescent="0.25">
      <c r="A30" s="3" t="s">
        <v>250</v>
      </c>
      <c r="B30">
        <v>744</v>
      </c>
    </row>
    <row r="31" spans="1:2" x14ac:dyDescent="0.25">
      <c r="A31" s="3" t="s">
        <v>93</v>
      </c>
      <c r="B31">
        <v>732</v>
      </c>
    </row>
    <row r="32" spans="1:2" x14ac:dyDescent="0.25">
      <c r="A32" s="3" t="s">
        <v>310</v>
      </c>
      <c r="B32">
        <v>728</v>
      </c>
    </row>
    <row r="33" spans="1:2" x14ac:dyDescent="0.25">
      <c r="A33" s="3" t="s">
        <v>330</v>
      </c>
      <c r="B33">
        <v>727</v>
      </c>
    </row>
    <row r="34" spans="1:2" x14ac:dyDescent="0.25">
      <c r="A34" s="3" t="s">
        <v>157</v>
      </c>
      <c r="B34">
        <v>727</v>
      </c>
    </row>
    <row r="35" spans="1:2" x14ac:dyDescent="0.25">
      <c r="A35" s="3" t="s">
        <v>25</v>
      </c>
      <c r="B35">
        <v>726</v>
      </c>
    </row>
    <row r="36" spans="1:2" x14ac:dyDescent="0.25">
      <c r="A36" s="3" t="s">
        <v>328</v>
      </c>
      <c r="B36">
        <v>703</v>
      </c>
    </row>
    <row r="37" spans="1:2" x14ac:dyDescent="0.25">
      <c r="A37" s="3" t="s">
        <v>258</v>
      </c>
      <c r="B37">
        <v>700</v>
      </c>
    </row>
    <row r="38" spans="1:2" x14ac:dyDescent="0.25">
      <c r="A38" s="3" t="s">
        <v>255</v>
      </c>
      <c r="B38">
        <v>677</v>
      </c>
    </row>
    <row r="39" spans="1:2" x14ac:dyDescent="0.25">
      <c r="A39" s="3" t="s">
        <v>67</v>
      </c>
      <c r="B39">
        <v>672</v>
      </c>
    </row>
    <row r="40" spans="1:2" x14ac:dyDescent="0.25">
      <c r="A40" s="3" t="s">
        <v>140</v>
      </c>
      <c r="B40">
        <v>669</v>
      </c>
    </row>
    <row r="41" spans="1:2" x14ac:dyDescent="0.25">
      <c r="A41" s="3" t="s">
        <v>185</v>
      </c>
      <c r="B41">
        <v>668</v>
      </c>
    </row>
    <row r="42" spans="1:2" x14ac:dyDescent="0.25">
      <c r="A42" s="3" t="s">
        <v>234</v>
      </c>
      <c r="B42">
        <v>667</v>
      </c>
    </row>
    <row r="43" spans="1:2" x14ac:dyDescent="0.25">
      <c r="A43" s="3" t="s">
        <v>197</v>
      </c>
      <c r="B43">
        <v>664</v>
      </c>
    </row>
    <row r="44" spans="1:2" x14ac:dyDescent="0.25">
      <c r="A44" s="3" t="s">
        <v>268</v>
      </c>
      <c r="B44">
        <v>650</v>
      </c>
    </row>
    <row r="45" spans="1:2" x14ac:dyDescent="0.25">
      <c r="A45" s="3" t="s">
        <v>325</v>
      </c>
      <c r="B45">
        <v>639</v>
      </c>
    </row>
    <row r="46" spans="1:2" x14ac:dyDescent="0.25">
      <c r="A46" s="3" t="s">
        <v>252</v>
      </c>
      <c r="B46">
        <v>623</v>
      </c>
    </row>
    <row r="47" spans="1:2" x14ac:dyDescent="0.25">
      <c r="A47" s="3" t="s">
        <v>285</v>
      </c>
      <c r="B47">
        <v>623</v>
      </c>
    </row>
    <row r="48" spans="1:2" x14ac:dyDescent="0.25">
      <c r="A48" s="3" t="s">
        <v>120</v>
      </c>
      <c r="B48">
        <v>623</v>
      </c>
    </row>
    <row r="49" spans="1:2" x14ac:dyDescent="0.25">
      <c r="A49" s="3" t="s">
        <v>98</v>
      </c>
      <c r="B49">
        <v>618</v>
      </c>
    </row>
    <row r="50" spans="1:2" x14ac:dyDescent="0.25">
      <c r="A50" s="3" t="s">
        <v>217</v>
      </c>
      <c r="B50">
        <v>601</v>
      </c>
    </row>
    <row r="51" spans="1:2" x14ac:dyDescent="0.25">
      <c r="A51" s="3" t="s">
        <v>50</v>
      </c>
      <c r="B51">
        <v>584</v>
      </c>
    </row>
    <row r="52" spans="1:2" x14ac:dyDescent="0.25">
      <c r="A52" s="3" t="s">
        <v>307</v>
      </c>
      <c r="B52">
        <v>580</v>
      </c>
    </row>
    <row r="53" spans="1:2" x14ac:dyDescent="0.25">
      <c r="A53" s="3" t="s">
        <v>114</v>
      </c>
      <c r="B53">
        <v>577</v>
      </c>
    </row>
    <row r="54" spans="1:2" x14ac:dyDescent="0.25">
      <c r="A54" s="3" t="s">
        <v>203</v>
      </c>
      <c r="B54">
        <v>574</v>
      </c>
    </row>
    <row r="55" spans="1:2" x14ac:dyDescent="0.25">
      <c r="A55" s="3" t="s">
        <v>58</v>
      </c>
      <c r="B55">
        <v>564</v>
      </c>
    </row>
    <row r="56" spans="1:2" x14ac:dyDescent="0.25">
      <c r="A56" s="3" t="s">
        <v>245</v>
      </c>
      <c r="B56">
        <v>561</v>
      </c>
    </row>
    <row r="57" spans="1:2" x14ac:dyDescent="0.25">
      <c r="A57" s="3" t="s">
        <v>40</v>
      </c>
      <c r="B57">
        <v>549</v>
      </c>
    </row>
    <row r="58" spans="1:2" x14ac:dyDescent="0.25">
      <c r="A58" s="3" t="s">
        <v>355</v>
      </c>
      <c r="B58">
        <v>541.04</v>
      </c>
    </row>
    <row r="59" spans="1:2" x14ac:dyDescent="0.25">
      <c r="A59" s="3" t="s">
        <v>209</v>
      </c>
      <c r="B59">
        <v>535</v>
      </c>
    </row>
    <row r="60" spans="1:2" x14ac:dyDescent="0.25">
      <c r="A60" s="3" t="s">
        <v>148</v>
      </c>
      <c r="B60">
        <v>532</v>
      </c>
    </row>
    <row r="61" spans="1:2" x14ac:dyDescent="0.25">
      <c r="A61" s="3" t="s">
        <v>242</v>
      </c>
      <c r="B61">
        <v>513</v>
      </c>
    </row>
    <row r="62" spans="1:2" x14ac:dyDescent="0.25">
      <c r="A62" s="3" t="s">
        <v>117</v>
      </c>
      <c r="B62">
        <v>510</v>
      </c>
    </row>
    <row r="63" spans="1:2" x14ac:dyDescent="0.25">
      <c r="A63" s="3" t="s">
        <v>54</v>
      </c>
      <c r="B63">
        <v>499</v>
      </c>
    </row>
    <row r="64" spans="1:2" x14ac:dyDescent="0.25">
      <c r="A64" s="3" t="s">
        <v>321</v>
      </c>
      <c r="B64">
        <v>499</v>
      </c>
    </row>
    <row r="65" spans="1:2" x14ac:dyDescent="0.25">
      <c r="A65" s="3" t="s">
        <v>318</v>
      </c>
      <c r="B65">
        <v>495</v>
      </c>
    </row>
    <row r="66" spans="1:2" x14ac:dyDescent="0.25">
      <c r="A66" s="3" t="s">
        <v>224</v>
      </c>
      <c r="B66">
        <v>491</v>
      </c>
    </row>
    <row r="67" spans="1:2" x14ac:dyDescent="0.25">
      <c r="A67" s="3" t="s">
        <v>314</v>
      </c>
      <c r="B67">
        <v>488</v>
      </c>
    </row>
    <row r="68" spans="1:2" x14ac:dyDescent="0.25">
      <c r="A68" s="3" t="s">
        <v>265</v>
      </c>
      <c r="B68">
        <v>439</v>
      </c>
    </row>
    <row r="69" spans="1:2" x14ac:dyDescent="0.25">
      <c r="A69" s="3" t="s">
        <v>277</v>
      </c>
      <c r="B69">
        <v>438</v>
      </c>
    </row>
    <row r="70" spans="1:2" x14ac:dyDescent="0.25">
      <c r="A70" s="3" t="s">
        <v>230</v>
      </c>
      <c r="B70">
        <v>423</v>
      </c>
    </row>
    <row r="71" spans="1:2" x14ac:dyDescent="0.25">
      <c r="A71" s="3" t="s">
        <v>109</v>
      </c>
      <c r="B71">
        <v>418</v>
      </c>
    </row>
    <row r="72" spans="1:2" x14ac:dyDescent="0.25">
      <c r="A72" s="3" t="s">
        <v>288</v>
      </c>
      <c r="B72">
        <v>413</v>
      </c>
    </row>
    <row r="73" spans="1:2" x14ac:dyDescent="0.25">
      <c r="A73" s="3" t="s">
        <v>200</v>
      </c>
      <c r="B73">
        <v>395</v>
      </c>
    </row>
    <row r="74" spans="1:2" x14ac:dyDescent="0.25">
      <c r="A74" s="3" t="s">
        <v>160</v>
      </c>
      <c r="B74">
        <v>394</v>
      </c>
    </row>
    <row r="75" spans="1:2" x14ac:dyDescent="0.25">
      <c r="A75" s="3" t="s">
        <v>335</v>
      </c>
      <c r="B75">
        <v>391</v>
      </c>
    </row>
    <row r="76" spans="1:2" x14ac:dyDescent="0.25">
      <c r="A76" s="3" t="s">
        <v>221</v>
      </c>
      <c r="B76">
        <v>372</v>
      </c>
    </row>
    <row r="77" spans="1:2" x14ac:dyDescent="0.25">
      <c r="A77" s="3" t="s">
        <v>154</v>
      </c>
      <c r="B77">
        <v>364</v>
      </c>
    </row>
    <row r="78" spans="1:2" x14ac:dyDescent="0.25">
      <c r="A78" s="3" t="s">
        <v>191</v>
      </c>
      <c r="B78">
        <v>349</v>
      </c>
    </row>
    <row r="79" spans="1:2" x14ac:dyDescent="0.25">
      <c r="A79" s="3" t="s">
        <v>144</v>
      </c>
      <c r="B79">
        <v>343</v>
      </c>
    </row>
    <row r="80" spans="1:2" x14ac:dyDescent="0.25">
      <c r="A80" s="3" t="s">
        <v>227</v>
      </c>
      <c r="B80">
        <v>332</v>
      </c>
    </row>
    <row r="81" spans="1:2" x14ac:dyDescent="0.25">
      <c r="A81" s="3" t="s">
        <v>82</v>
      </c>
      <c r="B81">
        <v>329</v>
      </c>
    </row>
    <row r="82" spans="1:2" x14ac:dyDescent="0.25">
      <c r="A82" s="3" t="s">
        <v>291</v>
      </c>
      <c r="B82">
        <v>326</v>
      </c>
    </row>
    <row r="83" spans="1:2" x14ac:dyDescent="0.25">
      <c r="A83" s="3" t="s">
        <v>312</v>
      </c>
      <c r="B83">
        <v>320</v>
      </c>
    </row>
    <row r="84" spans="1:2" x14ac:dyDescent="0.25">
      <c r="A84" s="3" t="s">
        <v>151</v>
      </c>
      <c r="B84">
        <v>285</v>
      </c>
    </row>
    <row r="85" spans="1:2" x14ac:dyDescent="0.25">
      <c r="A85" s="3" t="s">
        <v>194</v>
      </c>
      <c r="B85">
        <v>263</v>
      </c>
    </row>
    <row r="86" spans="1:2" x14ac:dyDescent="0.25">
      <c r="A86" s="3" t="s">
        <v>261</v>
      </c>
      <c r="B86">
        <v>247</v>
      </c>
    </row>
    <row r="87" spans="1:2" x14ac:dyDescent="0.25">
      <c r="A87" s="3" t="s">
        <v>305</v>
      </c>
      <c r="B87">
        <v>221</v>
      </c>
    </row>
    <row r="88" spans="1:2" x14ac:dyDescent="0.25">
      <c r="A88" s="3" t="s">
        <v>299</v>
      </c>
      <c r="B88">
        <v>208</v>
      </c>
    </row>
    <row r="89" spans="1:2" x14ac:dyDescent="0.25">
      <c r="A89" s="3" t="s">
        <v>133</v>
      </c>
      <c r="B89">
        <v>180</v>
      </c>
    </row>
    <row r="90" spans="1:2" x14ac:dyDescent="0.25">
      <c r="A90" s="3" t="s">
        <v>275</v>
      </c>
      <c r="B90">
        <v>169</v>
      </c>
    </row>
    <row r="91" spans="1:2" x14ac:dyDescent="0.25">
      <c r="A91" s="3" t="s">
        <v>63</v>
      </c>
      <c r="B91">
        <v>168</v>
      </c>
    </row>
    <row r="92" spans="1:2" x14ac:dyDescent="0.25">
      <c r="A92" s="3" t="s">
        <v>105</v>
      </c>
      <c r="B92">
        <v>163</v>
      </c>
    </row>
    <row r="93" spans="1:2" x14ac:dyDescent="0.25">
      <c r="A93" s="3" t="s">
        <v>79</v>
      </c>
      <c r="B93">
        <v>159</v>
      </c>
    </row>
    <row r="94" spans="1:2" x14ac:dyDescent="0.25">
      <c r="A94" s="3" t="s">
        <v>71</v>
      </c>
      <c r="B94">
        <v>156</v>
      </c>
    </row>
    <row r="95" spans="1:2" x14ac:dyDescent="0.25">
      <c r="A95" s="3" t="s">
        <v>280</v>
      </c>
      <c r="B95">
        <v>151</v>
      </c>
    </row>
    <row r="96" spans="1:2" x14ac:dyDescent="0.25">
      <c r="A96" s="3" t="s">
        <v>296</v>
      </c>
      <c r="B96">
        <v>123</v>
      </c>
    </row>
    <row r="97" spans="1:2" x14ac:dyDescent="0.25">
      <c r="A97" s="3" t="s">
        <v>19</v>
      </c>
      <c r="B97">
        <v>81</v>
      </c>
    </row>
    <row r="98" spans="1:2" x14ac:dyDescent="0.25">
      <c r="A98" s="3" t="s">
        <v>283</v>
      </c>
      <c r="B98">
        <v>71</v>
      </c>
    </row>
    <row r="99" spans="1:2" x14ac:dyDescent="0.25">
      <c r="A99" s="3" t="s">
        <v>323</v>
      </c>
      <c r="B99">
        <v>63</v>
      </c>
    </row>
    <row r="100" spans="1:2" x14ac:dyDescent="0.25">
      <c r="A100" s="3" t="s">
        <v>181</v>
      </c>
      <c r="B100">
        <v>55</v>
      </c>
    </row>
    <row r="101" spans="1:2" x14ac:dyDescent="0.25">
      <c r="A101" s="3" t="s">
        <v>337</v>
      </c>
      <c r="B101">
        <v>51</v>
      </c>
    </row>
    <row r="102" spans="1:2" x14ac:dyDescent="0.25">
      <c r="A102" s="3" t="s">
        <v>88</v>
      </c>
      <c r="B102">
        <v>47</v>
      </c>
    </row>
    <row r="103" spans="1:2" x14ac:dyDescent="0.25">
      <c r="A103" s="3" t="s">
        <v>293</v>
      </c>
      <c r="B103">
        <v>19</v>
      </c>
    </row>
    <row r="104" spans="1:2" x14ac:dyDescent="0.25">
      <c r="A104" s="3" t="s">
        <v>303</v>
      </c>
      <c r="B104">
        <v>10</v>
      </c>
    </row>
    <row r="105" spans="1:2" x14ac:dyDescent="0.25">
      <c r="A105" s="3" t="s">
        <v>342</v>
      </c>
      <c r="B105">
        <v>54645.04</v>
      </c>
    </row>
  </sheetData>
  <conditionalFormatting pivot="1" sqref="B4:B57 B59:B104">
    <cfRule type="top10" dxfId="38" priority="1"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455D1-1958-40C1-BC9F-099B13312C5A}">
  <dimension ref="A3:B36"/>
  <sheetViews>
    <sheetView workbookViewId="0">
      <selection activeCell="A3" sqref="A3"/>
    </sheetView>
  </sheetViews>
  <sheetFormatPr defaultRowHeight="15" x14ac:dyDescent="0.25"/>
  <cols>
    <col min="1" max="1" width="28.5703125" bestFit="1" customWidth="1"/>
    <col min="2" max="2" width="12.28515625" bestFit="1" customWidth="1"/>
  </cols>
  <sheetData>
    <row r="3" spans="1:2" x14ac:dyDescent="0.25">
      <c r="A3" s="2" t="s">
        <v>341</v>
      </c>
      <c r="B3" t="s">
        <v>346</v>
      </c>
    </row>
    <row r="4" spans="1:2" x14ac:dyDescent="0.25">
      <c r="A4" s="3" t="s">
        <v>256</v>
      </c>
      <c r="B4">
        <v>206</v>
      </c>
    </row>
    <row r="5" spans="1:2" x14ac:dyDescent="0.25">
      <c r="A5" s="3" t="s">
        <v>51</v>
      </c>
      <c r="B5">
        <v>2530</v>
      </c>
    </row>
    <row r="6" spans="1:2" x14ac:dyDescent="0.25">
      <c r="A6" s="3" t="s">
        <v>211</v>
      </c>
      <c r="B6">
        <v>1114</v>
      </c>
    </row>
    <row r="7" spans="1:2" x14ac:dyDescent="0.25">
      <c r="A7" s="3" t="s">
        <v>110</v>
      </c>
      <c r="B7">
        <v>1812</v>
      </c>
    </row>
    <row r="8" spans="1:2" x14ac:dyDescent="0.25">
      <c r="A8" s="3" t="s">
        <v>13</v>
      </c>
      <c r="B8">
        <v>1554</v>
      </c>
    </row>
    <row r="9" spans="1:2" x14ac:dyDescent="0.25">
      <c r="A9" s="3" t="s">
        <v>218</v>
      </c>
      <c r="B9">
        <v>889</v>
      </c>
    </row>
    <row r="10" spans="1:2" x14ac:dyDescent="0.25">
      <c r="A10" s="3" t="s">
        <v>195</v>
      </c>
      <c r="B10">
        <v>1838</v>
      </c>
    </row>
    <row r="11" spans="1:2" x14ac:dyDescent="0.25">
      <c r="A11" s="3" t="s">
        <v>68</v>
      </c>
      <c r="B11">
        <v>2348</v>
      </c>
    </row>
    <row r="12" spans="1:2" x14ac:dyDescent="0.25">
      <c r="A12" s="3" t="s">
        <v>129</v>
      </c>
      <c r="B12">
        <v>858</v>
      </c>
    </row>
    <row r="13" spans="1:2" x14ac:dyDescent="0.25">
      <c r="A13" s="3" t="s">
        <v>72</v>
      </c>
      <c r="B13">
        <v>2398</v>
      </c>
    </row>
    <row r="14" spans="1:2" x14ac:dyDescent="0.25">
      <c r="A14" s="3" t="s">
        <v>175</v>
      </c>
      <c r="B14">
        <v>100</v>
      </c>
    </row>
    <row r="15" spans="1:2" x14ac:dyDescent="0.25">
      <c r="A15" s="3" t="s">
        <v>59</v>
      </c>
      <c r="B15">
        <v>2110</v>
      </c>
    </row>
    <row r="16" spans="1:2" x14ac:dyDescent="0.25">
      <c r="A16" s="3" t="s">
        <v>145</v>
      </c>
      <c r="B16">
        <v>1910</v>
      </c>
    </row>
    <row r="17" spans="1:2" x14ac:dyDescent="0.25">
      <c r="A17" s="3" t="s">
        <v>134</v>
      </c>
      <c r="B17">
        <v>1378</v>
      </c>
    </row>
    <row r="18" spans="1:2" x14ac:dyDescent="0.25">
      <c r="A18" s="3" t="s">
        <v>118</v>
      </c>
      <c r="B18">
        <v>1405</v>
      </c>
    </row>
    <row r="19" spans="1:2" x14ac:dyDescent="0.25">
      <c r="A19" s="3" t="s">
        <v>170</v>
      </c>
      <c r="B19">
        <v>2045</v>
      </c>
    </row>
    <row r="20" spans="1:2" x14ac:dyDescent="0.25">
      <c r="A20" s="3" t="s">
        <v>64</v>
      </c>
      <c r="B20">
        <v>1610</v>
      </c>
    </row>
    <row r="21" spans="1:2" x14ac:dyDescent="0.25">
      <c r="A21" s="3" t="s">
        <v>273</v>
      </c>
      <c r="B21">
        <v>735</v>
      </c>
    </row>
    <row r="22" spans="1:2" x14ac:dyDescent="0.25">
      <c r="A22" s="3" t="s">
        <v>182</v>
      </c>
      <c r="B22">
        <v>1565</v>
      </c>
    </row>
    <row r="23" spans="1:2" x14ac:dyDescent="0.25">
      <c r="A23" s="3" t="s">
        <v>36</v>
      </c>
      <c r="B23">
        <v>1989</v>
      </c>
    </row>
    <row r="24" spans="1:2" x14ac:dyDescent="0.25">
      <c r="A24" s="3" t="s">
        <v>26</v>
      </c>
      <c r="B24">
        <v>753</v>
      </c>
    </row>
    <row r="25" spans="1:2" x14ac:dyDescent="0.25">
      <c r="A25" s="3" t="s">
        <v>46</v>
      </c>
      <c r="B25">
        <v>984</v>
      </c>
    </row>
    <row r="26" spans="1:2" x14ac:dyDescent="0.25">
      <c r="A26" s="3" t="s">
        <v>269</v>
      </c>
      <c r="B26">
        <v>515</v>
      </c>
    </row>
    <row r="27" spans="1:2" x14ac:dyDescent="0.25">
      <c r="A27" s="3" t="s">
        <v>231</v>
      </c>
      <c r="B27">
        <v>929</v>
      </c>
    </row>
    <row r="28" spans="1:2" x14ac:dyDescent="0.25">
      <c r="A28" s="3" t="s">
        <v>178</v>
      </c>
      <c r="B28">
        <v>2326</v>
      </c>
    </row>
    <row r="29" spans="1:2" x14ac:dyDescent="0.25">
      <c r="A29" s="3" t="s">
        <v>20</v>
      </c>
      <c r="B29">
        <v>982</v>
      </c>
    </row>
    <row r="30" spans="1:2" x14ac:dyDescent="0.25">
      <c r="A30" s="3" t="s">
        <v>41</v>
      </c>
      <c r="B30">
        <v>1544</v>
      </c>
    </row>
    <row r="31" spans="1:2" x14ac:dyDescent="0.25">
      <c r="A31" s="3" t="s">
        <v>102</v>
      </c>
      <c r="B31">
        <v>1797</v>
      </c>
    </row>
    <row r="32" spans="1:2" x14ac:dyDescent="0.25">
      <c r="A32" s="3" t="s">
        <v>262</v>
      </c>
      <c r="B32">
        <v>64</v>
      </c>
    </row>
    <row r="33" spans="1:2" x14ac:dyDescent="0.25">
      <c r="A33" s="3" t="s">
        <v>141</v>
      </c>
      <c r="B33">
        <v>1190</v>
      </c>
    </row>
    <row r="34" spans="1:2" x14ac:dyDescent="0.25">
      <c r="A34" s="3" t="s">
        <v>83</v>
      </c>
      <c r="B34">
        <v>1047</v>
      </c>
    </row>
    <row r="35" spans="1:2" x14ac:dyDescent="0.25">
      <c r="A35" s="3" t="s">
        <v>106</v>
      </c>
      <c r="B35">
        <v>2594</v>
      </c>
    </row>
    <row r="36" spans="1:2" x14ac:dyDescent="0.25">
      <c r="A36" s="3" t="s">
        <v>342</v>
      </c>
      <c r="B36">
        <v>45119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41F52-9A02-4702-91F4-BBAD6F8C1FB7}">
  <dimension ref="A3:B37"/>
  <sheetViews>
    <sheetView topLeftCell="A11" zoomScale="92" workbookViewId="0">
      <selection activeCell="A36" sqref="A36"/>
    </sheetView>
  </sheetViews>
  <sheetFormatPr defaultRowHeight="15" x14ac:dyDescent="0.25"/>
  <cols>
    <col min="1" max="1" width="28.5703125" bestFit="1" customWidth="1"/>
    <col min="2" max="2" width="22" bestFit="1" customWidth="1"/>
  </cols>
  <sheetData>
    <row r="3" spans="1:2" x14ac:dyDescent="0.25">
      <c r="A3" s="2" t="s">
        <v>341</v>
      </c>
      <c r="B3" t="s">
        <v>348</v>
      </c>
    </row>
    <row r="4" spans="1:2" x14ac:dyDescent="0.25">
      <c r="A4" s="3" t="s">
        <v>256</v>
      </c>
      <c r="B4">
        <v>139462</v>
      </c>
    </row>
    <row r="5" spans="1:2" x14ac:dyDescent="0.25">
      <c r="A5" s="3" t="s">
        <v>51</v>
      </c>
      <c r="B5">
        <v>880948</v>
      </c>
    </row>
    <row r="6" spans="1:2" x14ac:dyDescent="0.25">
      <c r="A6" s="3" t="s">
        <v>211</v>
      </c>
      <c r="B6">
        <v>854991</v>
      </c>
    </row>
    <row r="7" spans="1:2" x14ac:dyDescent="0.25">
      <c r="A7" s="3" t="s">
        <v>110</v>
      </c>
      <c r="B7">
        <v>1110843</v>
      </c>
    </row>
    <row r="8" spans="1:2" x14ac:dyDescent="0.25">
      <c r="A8" s="3" t="s">
        <v>13</v>
      </c>
      <c r="B8">
        <v>821837</v>
      </c>
    </row>
    <row r="9" spans="1:2" x14ac:dyDescent="0.25">
      <c r="A9" s="3" t="s">
        <v>218</v>
      </c>
      <c r="B9">
        <v>479275</v>
      </c>
    </row>
    <row r="10" spans="1:2" x14ac:dyDescent="0.25">
      <c r="A10" s="3" t="s">
        <v>195</v>
      </c>
      <c r="B10">
        <v>261748</v>
      </c>
    </row>
    <row r="11" spans="1:2" x14ac:dyDescent="0.25">
      <c r="A11" s="3" t="s">
        <v>68</v>
      </c>
      <c r="B11">
        <v>1425491</v>
      </c>
    </row>
    <row r="12" spans="1:2" x14ac:dyDescent="0.25">
      <c r="A12" s="3" t="s">
        <v>129</v>
      </c>
      <c r="B12">
        <v>782496</v>
      </c>
    </row>
    <row r="13" spans="1:2" x14ac:dyDescent="0.25">
      <c r="A13" s="3" t="s">
        <v>72</v>
      </c>
      <c r="B13">
        <v>952757</v>
      </c>
    </row>
    <row r="14" spans="1:2" x14ac:dyDescent="0.25">
      <c r="A14" s="3" t="s">
        <v>175</v>
      </c>
      <c r="B14">
        <v>80200</v>
      </c>
    </row>
    <row r="15" spans="1:2" x14ac:dyDescent="0.25">
      <c r="A15" s="3" t="s">
        <v>59</v>
      </c>
      <c r="B15">
        <v>1594452</v>
      </c>
    </row>
    <row r="16" spans="1:2" x14ac:dyDescent="0.25">
      <c r="A16" s="3" t="s">
        <v>145</v>
      </c>
      <c r="B16">
        <v>1002545</v>
      </c>
    </row>
    <row r="17" spans="1:2" x14ac:dyDescent="0.25">
      <c r="A17" s="3" t="s">
        <v>134</v>
      </c>
      <c r="B17">
        <v>373407</v>
      </c>
    </row>
    <row r="18" spans="1:2" x14ac:dyDescent="0.25">
      <c r="A18" s="3" t="s">
        <v>118</v>
      </c>
      <c r="B18">
        <v>814047</v>
      </c>
    </row>
    <row r="19" spans="1:2" x14ac:dyDescent="0.25">
      <c r="A19" s="3" t="s">
        <v>170</v>
      </c>
      <c r="B19">
        <v>1460008</v>
      </c>
    </row>
    <row r="20" spans="1:2" x14ac:dyDescent="0.25">
      <c r="A20" s="3" t="s">
        <v>64</v>
      </c>
      <c r="B20">
        <v>857113</v>
      </c>
    </row>
    <row r="21" spans="1:2" x14ac:dyDescent="0.25">
      <c r="A21" s="3" t="s">
        <v>273</v>
      </c>
      <c r="B21">
        <v>532345</v>
      </c>
    </row>
    <row r="22" spans="1:2" x14ac:dyDescent="0.25">
      <c r="A22" s="3" t="s">
        <v>182</v>
      </c>
      <c r="B22">
        <v>327365</v>
      </c>
    </row>
    <row r="23" spans="1:2" x14ac:dyDescent="0.25">
      <c r="A23" s="3" t="s">
        <v>36</v>
      </c>
      <c r="B23">
        <v>1211123</v>
      </c>
    </row>
    <row r="24" spans="1:2" x14ac:dyDescent="0.25">
      <c r="A24" s="3" t="s">
        <v>26</v>
      </c>
      <c r="B24">
        <v>657968</v>
      </c>
    </row>
    <row r="25" spans="1:2" x14ac:dyDescent="0.25">
      <c r="A25" s="3" t="s">
        <v>46</v>
      </c>
      <c r="B25">
        <v>586793</v>
      </c>
    </row>
    <row r="26" spans="1:2" x14ac:dyDescent="0.25">
      <c r="A26" s="3" t="s">
        <v>269</v>
      </c>
      <c r="B26">
        <v>103173</v>
      </c>
    </row>
    <row r="27" spans="1:2" x14ac:dyDescent="0.25">
      <c r="A27" s="3" t="s">
        <v>231</v>
      </c>
      <c r="B27">
        <v>634967</v>
      </c>
    </row>
    <row r="28" spans="1:2" x14ac:dyDescent="0.25">
      <c r="A28" s="3" t="s">
        <v>178</v>
      </c>
      <c r="B28">
        <v>1433073</v>
      </c>
    </row>
    <row r="29" spans="1:2" x14ac:dyDescent="0.25">
      <c r="A29" s="3" t="s">
        <v>20</v>
      </c>
      <c r="B29">
        <v>215382</v>
      </c>
    </row>
    <row r="30" spans="1:2" x14ac:dyDescent="0.25">
      <c r="A30" s="3" t="s">
        <v>41</v>
      </c>
      <c r="B30">
        <v>843548</v>
      </c>
    </row>
    <row r="31" spans="1:2" x14ac:dyDescent="0.25">
      <c r="A31" s="3" t="s">
        <v>102</v>
      </c>
      <c r="B31">
        <v>1133480</v>
      </c>
    </row>
    <row r="32" spans="1:2" x14ac:dyDescent="0.25">
      <c r="A32" s="3" t="s">
        <v>262</v>
      </c>
      <c r="B32">
        <v>11206</v>
      </c>
    </row>
    <row r="33" spans="1:2" x14ac:dyDescent="0.25">
      <c r="A33" s="3" t="s">
        <v>141</v>
      </c>
      <c r="B33">
        <v>906085</v>
      </c>
    </row>
    <row r="34" spans="1:2" x14ac:dyDescent="0.25">
      <c r="A34" s="3" t="s">
        <v>83</v>
      </c>
      <c r="B34">
        <v>589348</v>
      </c>
    </row>
    <row r="35" spans="1:2" x14ac:dyDescent="0.25">
      <c r="A35" s="3" t="s">
        <v>106</v>
      </c>
      <c r="B35">
        <v>1341950</v>
      </c>
    </row>
    <row r="36" spans="1:2" x14ac:dyDescent="0.25">
      <c r="A36" s="3" t="s">
        <v>355</v>
      </c>
      <c r="B36">
        <v>244194.26</v>
      </c>
    </row>
    <row r="37" spans="1:2" x14ac:dyDescent="0.25">
      <c r="A37" s="3" t="s">
        <v>342</v>
      </c>
      <c r="B37">
        <v>24663620.260000002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497A1-C4B7-4D08-B71F-95378828F993}">
  <dimension ref="A3:B105"/>
  <sheetViews>
    <sheetView topLeftCell="A37" zoomScale="77" workbookViewId="0">
      <selection activeCell="B4" sqref="B4:B103"/>
    </sheetView>
  </sheetViews>
  <sheetFormatPr defaultRowHeight="15" x14ac:dyDescent="0.25"/>
  <cols>
    <col min="1" max="1" width="30.85546875" bestFit="1" customWidth="1"/>
    <col min="2" max="2" width="22" bestFit="1" customWidth="1"/>
  </cols>
  <sheetData>
    <row r="3" spans="1:2" x14ac:dyDescent="0.25">
      <c r="A3" s="2" t="s">
        <v>341</v>
      </c>
      <c r="B3" t="s">
        <v>348</v>
      </c>
    </row>
    <row r="4" spans="1:2" x14ac:dyDescent="0.25">
      <c r="A4" s="3" t="s">
        <v>177</v>
      </c>
      <c r="B4">
        <v>852147</v>
      </c>
    </row>
    <row r="5" spans="1:2" x14ac:dyDescent="0.25">
      <c r="A5" s="3" t="s">
        <v>240</v>
      </c>
      <c r="B5">
        <v>789528</v>
      </c>
    </row>
    <row r="6" spans="1:2" x14ac:dyDescent="0.25">
      <c r="A6" s="3" t="s">
        <v>128</v>
      </c>
      <c r="B6">
        <v>782496</v>
      </c>
    </row>
    <row r="7" spans="1:2" x14ac:dyDescent="0.25">
      <c r="A7" s="3" t="s">
        <v>169</v>
      </c>
      <c r="B7">
        <v>748660</v>
      </c>
    </row>
    <row r="8" spans="1:2" x14ac:dyDescent="0.25">
      <c r="A8" s="3" t="s">
        <v>166</v>
      </c>
      <c r="B8">
        <v>739607</v>
      </c>
    </row>
    <row r="9" spans="1:2" x14ac:dyDescent="0.25">
      <c r="A9" s="3" t="s">
        <v>122</v>
      </c>
      <c r="B9">
        <v>724473</v>
      </c>
    </row>
    <row r="10" spans="1:2" x14ac:dyDescent="0.25">
      <c r="A10" s="3" t="s">
        <v>214</v>
      </c>
      <c r="B10">
        <v>654157</v>
      </c>
    </row>
    <row r="11" spans="1:2" x14ac:dyDescent="0.25">
      <c r="A11" s="3" t="s">
        <v>206</v>
      </c>
      <c r="B11">
        <v>646464</v>
      </c>
    </row>
    <row r="12" spans="1:2" x14ac:dyDescent="0.25">
      <c r="A12" s="3" t="s">
        <v>137</v>
      </c>
      <c r="B12">
        <v>569088</v>
      </c>
    </row>
    <row r="13" spans="1:2" x14ac:dyDescent="0.25">
      <c r="A13" s="3" t="s">
        <v>120</v>
      </c>
      <c r="B13">
        <v>560700</v>
      </c>
    </row>
    <row r="14" spans="1:2" x14ac:dyDescent="0.25">
      <c r="A14" s="3" t="s">
        <v>250</v>
      </c>
      <c r="B14">
        <v>543864</v>
      </c>
    </row>
    <row r="15" spans="1:2" x14ac:dyDescent="0.25">
      <c r="A15" s="3" t="s">
        <v>272</v>
      </c>
      <c r="B15">
        <v>511695</v>
      </c>
    </row>
    <row r="16" spans="1:2" x14ac:dyDescent="0.25">
      <c r="A16" s="3" t="s">
        <v>163</v>
      </c>
      <c r="B16">
        <v>499200</v>
      </c>
    </row>
    <row r="17" spans="1:2" x14ac:dyDescent="0.25">
      <c r="A17" s="3" t="s">
        <v>197</v>
      </c>
      <c r="B17">
        <v>485384</v>
      </c>
    </row>
    <row r="18" spans="1:2" x14ac:dyDescent="0.25">
      <c r="A18" s="3" t="s">
        <v>148</v>
      </c>
      <c r="B18">
        <v>480928</v>
      </c>
    </row>
    <row r="19" spans="1:2" x14ac:dyDescent="0.25">
      <c r="A19" s="3" t="s">
        <v>58</v>
      </c>
      <c r="B19">
        <v>476580</v>
      </c>
    </row>
    <row r="20" spans="1:2" x14ac:dyDescent="0.25">
      <c r="A20" s="3" t="s">
        <v>188</v>
      </c>
      <c r="B20">
        <v>471408</v>
      </c>
    </row>
    <row r="21" spans="1:2" x14ac:dyDescent="0.25">
      <c r="A21" s="3" t="s">
        <v>252</v>
      </c>
      <c r="B21">
        <v>467250</v>
      </c>
    </row>
    <row r="22" spans="1:2" x14ac:dyDescent="0.25">
      <c r="A22" s="3" t="s">
        <v>157</v>
      </c>
      <c r="B22">
        <v>461645</v>
      </c>
    </row>
    <row r="23" spans="1:2" x14ac:dyDescent="0.25">
      <c r="A23" s="3" t="s">
        <v>101</v>
      </c>
      <c r="B23">
        <v>446476</v>
      </c>
    </row>
    <row r="24" spans="1:2" x14ac:dyDescent="0.25">
      <c r="A24" s="3" t="s">
        <v>209</v>
      </c>
      <c r="B24">
        <v>438700</v>
      </c>
    </row>
    <row r="25" spans="1:2" x14ac:dyDescent="0.25">
      <c r="A25" s="3" t="s">
        <v>237</v>
      </c>
      <c r="B25">
        <v>428120</v>
      </c>
    </row>
    <row r="26" spans="1:2" x14ac:dyDescent="0.25">
      <c r="A26" s="3" t="s">
        <v>234</v>
      </c>
      <c r="B26">
        <v>414207</v>
      </c>
    </row>
    <row r="27" spans="1:2" x14ac:dyDescent="0.25">
      <c r="A27" s="3" t="s">
        <v>117</v>
      </c>
      <c r="B27">
        <v>399840</v>
      </c>
    </row>
    <row r="28" spans="1:2" x14ac:dyDescent="0.25">
      <c r="A28" s="3" t="s">
        <v>316</v>
      </c>
      <c r="B28">
        <v>384750</v>
      </c>
    </row>
    <row r="29" spans="1:2" x14ac:dyDescent="0.25">
      <c r="A29" s="3" t="s">
        <v>114</v>
      </c>
      <c r="B29">
        <v>383128</v>
      </c>
    </row>
    <row r="30" spans="1:2" x14ac:dyDescent="0.25">
      <c r="A30" s="3" t="s">
        <v>210</v>
      </c>
      <c r="B30">
        <v>376176</v>
      </c>
    </row>
    <row r="31" spans="1:2" x14ac:dyDescent="0.25">
      <c r="A31" s="3" t="s">
        <v>307</v>
      </c>
      <c r="B31">
        <v>343940</v>
      </c>
    </row>
    <row r="32" spans="1:2" x14ac:dyDescent="0.25">
      <c r="A32" s="3" t="s">
        <v>301</v>
      </c>
      <c r="B32">
        <v>321057</v>
      </c>
    </row>
    <row r="33" spans="1:2" x14ac:dyDescent="0.25">
      <c r="A33" s="3" t="s">
        <v>109</v>
      </c>
      <c r="B33">
        <v>282986</v>
      </c>
    </row>
    <row r="34" spans="1:2" x14ac:dyDescent="0.25">
      <c r="A34" s="3" t="s">
        <v>277</v>
      </c>
      <c r="B34">
        <v>275940</v>
      </c>
    </row>
    <row r="35" spans="1:2" x14ac:dyDescent="0.25">
      <c r="A35" s="3" t="s">
        <v>245</v>
      </c>
      <c r="B35">
        <v>274329</v>
      </c>
    </row>
    <row r="36" spans="1:2" x14ac:dyDescent="0.25">
      <c r="A36" s="3" t="s">
        <v>125</v>
      </c>
      <c r="B36">
        <v>264600</v>
      </c>
    </row>
    <row r="37" spans="1:2" x14ac:dyDescent="0.25">
      <c r="A37" s="3" t="s">
        <v>314</v>
      </c>
      <c r="B37">
        <v>264008</v>
      </c>
    </row>
    <row r="38" spans="1:2" x14ac:dyDescent="0.25">
      <c r="A38" s="3" t="s">
        <v>328</v>
      </c>
      <c r="B38">
        <v>263625</v>
      </c>
    </row>
    <row r="39" spans="1:2" x14ac:dyDescent="0.25">
      <c r="A39" s="3" t="s">
        <v>318</v>
      </c>
      <c r="B39">
        <v>256905</v>
      </c>
    </row>
    <row r="40" spans="1:2" x14ac:dyDescent="0.25">
      <c r="A40" s="3" t="s">
        <v>224</v>
      </c>
      <c r="B40">
        <v>252374</v>
      </c>
    </row>
    <row r="41" spans="1:2" x14ac:dyDescent="0.25">
      <c r="A41" s="3" t="s">
        <v>355</v>
      </c>
      <c r="B41">
        <v>244194.26</v>
      </c>
    </row>
    <row r="42" spans="1:2" x14ac:dyDescent="0.25">
      <c r="A42" s="3" t="s">
        <v>325</v>
      </c>
      <c r="B42">
        <v>244098</v>
      </c>
    </row>
    <row r="43" spans="1:2" x14ac:dyDescent="0.25">
      <c r="A43" s="3" t="s">
        <v>291</v>
      </c>
      <c r="B43">
        <v>243848</v>
      </c>
    </row>
    <row r="44" spans="1:2" x14ac:dyDescent="0.25">
      <c r="A44" s="3" t="s">
        <v>40</v>
      </c>
      <c r="B44">
        <v>233874</v>
      </c>
    </row>
    <row r="45" spans="1:2" x14ac:dyDescent="0.25">
      <c r="A45" s="3" t="s">
        <v>332</v>
      </c>
      <c r="B45">
        <v>231536</v>
      </c>
    </row>
    <row r="46" spans="1:2" x14ac:dyDescent="0.25">
      <c r="A46" s="3" t="s">
        <v>227</v>
      </c>
      <c r="B46">
        <v>228748</v>
      </c>
    </row>
    <row r="47" spans="1:2" x14ac:dyDescent="0.25">
      <c r="A47" s="3" t="s">
        <v>75</v>
      </c>
      <c r="B47">
        <v>228222</v>
      </c>
    </row>
    <row r="48" spans="1:2" x14ac:dyDescent="0.25">
      <c r="A48" s="3" t="s">
        <v>54</v>
      </c>
      <c r="B48">
        <v>226546</v>
      </c>
    </row>
    <row r="49" spans="1:2" x14ac:dyDescent="0.25">
      <c r="A49" s="3" t="s">
        <v>217</v>
      </c>
      <c r="B49">
        <v>222370</v>
      </c>
    </row>
    <row r="50" spans="1:2" x14ac:dyDescent="0.25">
      <c r="A50" s="3" t="s">
        <v>98</v>
      </c>
      <c r="B50">
        <v>210120</v>
      </c>
    </row>
    <row r="51" spans="1:2" x14ac:dyDescent="0.25">
      <c r="A51" s="3" t="s">
        <v>330</v>
      </c>
      <c r="B51">
        <v>210103</v>
      </c>
    </row>
    <row r="52" spans="1:2" x14ac:dyDescent="0.25">
      <c r="A52" s="3" t="s">
        <v>230</v>
      </c>
      <c r="B52">
        <v>206847</v>
      </c>
    </row>
    <row r="53" spans="1:2" x14ac:dyDescent="0.25">
      <c r="A53" s="3" t="s">
        <v>340</v>
      </c>
      <c r="B53">
        <v>205110</v>
      </c>
    </row>
    <row r="54" spans="1:2" x14ac:dyDescent="0.25">
      <c r="A54" s="3" t="s">
        <v>258</v>
      </c>
      <c r="B54">
        <v>205100</v>
      </c>
    </row>
    <row r="55" spans="1:2" x14ac:dyDescent="0.25">
      <c r="A55" s="3" t="s">
        <v>200</v>
      </c>
      <c r="B55">
        <v>201845</v>
      </c>
    </row>
    <row r="56" spans="1:2" x14ac:dyDescent="0.25">
      <c r="A56" s="3" t="s">
        <v>321</v>
      </c>
      <c r="B56">
        <v>196107</v>
      </c>
    </row>
    <row r="57" spans="1:2" x14ac:dyDescent="0.25">
      <c r="A57" s="3" t="s">
        <v>133</v>
      </c>
      <c r="B57">
        <v>177300</v>
      </c>
    </row>
    <row r="58" spans="1:2" x14ac:dyDescent="0.25">
      <c r="A58" s="3" t="s">
        <v>154</v>
      </c>
      <c r="B58">
        <v>174720</v>
      </c>
    </row>
    <row r="59" spans="1:2" x14ac:dyDescent="0.25">
      <c r="A59" s="3" t="s">
        <v>185</v>
      </c>
      <c r="B59">
        <v>173012</v>
      </c>
    </row>
    <row r="60" spans="1:2" x14ac:dyDescent="0.25">
      <c r="A60" s="3" t="s">
        <v>285</v>
      </c>
      <c r="B60">
        <v>170079</v>
      </c>
    </row>
    <row r="61" spans="1:2" x14ac:dyDescent="0.25">
      <c r="A61" s="3" t="s">
        <v>25</v>
      </c>
      <c r="B61">
        <v>164802</v>
      </c>
    </row>
    <row r="62" spans="1:2" x14ac:dyDescent="0.25">
      <c r="A62" s="3" t="s">
        <v>194</v>
      </c>
      <c r="B62">
        <v>157537</v>
      </c>
    </row>
    <row r="63" spans="1:2" x14ac:dyDescent="0.25">
      <c r="A63" s="3" t="s">
        <v>67</v>
      </c>
      <c r="B63">
        <v>148512</v>
      </c>
    </row>
    <row r="64" spans="1:2" x14ac:dyDescent="0.25">
      <c r="A64" s="3" t="s">
        <v>255</v>
      </c>
      <c r="B64">
        <v>139462</v>
      </c>
    </row>
    <row r="65" spans="1:2" x14ac:dyDescent="0.25">
      <c r="A65" s="3" t="s">
        <v>203</v>
      </c>
      <c r="B65">
        <v>122836</v>
      </c>
    </row>
    <row r="66" spans="1:2" x14ac:dyDescent="0.25">
      <c r="A66" s="3" t="s">
        <v>280</v>
      </c>
      <c r="B66">
        <v>120800</v>
      </c>
    </row>
    <row r="67" spans="1:2" x14ac:dyDescent="0.25">
      <c r="A67" s="3" t="s">
        <v>151</v>
      </c>
      <c r="B67">
        <v>115995</v>
      </c>
    </row>
    <row r="68" spans="1:2" x14ac:dyDescent="0.25">
      <c r="A68" s="3" t="s">
        <v>248</v>
      </c>
      <c r="B68">
        <v>113880</v>
      </c>
    </row>
    <row r="69" spans="1:2" x14ac:dyDescent="0.25">
      <c r="A69" s="3" t="s">
        <v>30</v>
      </c>
      <c r="B69">
        <v>108416</v>
      </c>
    </row>
    <row r="70" spans="1:2" x14ac:dyDescent="0.25">
      <c r="A70" s="3" t="s">
        <v>71</v>
      </c>
      <c r="B70">
        <v>107484</v>
      </c>
    </row>
    <row r="71" spans="1:2" x14ac:dyDescent="0.25">
      <c r="A71" s="3" t="s">
        <v>82</v>
      </c>
      <c r="B71">
        <v>103964</v>
      </c>
    </row>
    <row r="72" spans="1:2" x14ac:dyDescent="0.25">
      <c r="A72" s="3" t="s">
        <v>312</v>
      </c>
      <c r="B72">
        <v>98240</v>
      </c>
    </row>
    <row r="73" spans="1:2" x14ac:dyDescent="0.25">
      <c r="A73" s="3" t="s">
        <v>144</v>
      </c>
      <c r="B73">
        <v>97069</v>
      </c>
    </row>
    <row r="74" spans="1:2" x14ac:dyDescent="0.25">
      <c r="A74" s="3" t="s">
        <v>268</v>
      </c>
      <c r="B74">
        <v>96200</v>
      </c>
    </row>
    <row r="75" spans="1:2" x14ac:dyDescent="0.25">
      <c r="A75" s="3" t="s">
        <v>335</v>
      </c>
      <c r="B75">
        <v>94231</v>
      </c>
    </row>
    <row r="76" spans="1:2" x14ac:dyDescent="0.25">
      <c r="A76" s="3" t="s">
        <v>50</v>
      </c>
      <c r="B76">
        <v>92856</v>
      </c>
    </row>
    <row r="77" spans="1:2" x14ac:dyDescent="0.25">
      <c r="A77" s="3" t="s">
        <v>160</v>
      </c>
      <c r="B77">
        <v>92196</v>
      </c>
    </row>
    <row r="78" spans="1:2" x14ac:dyDescent="0.25">
      <c r="A78" s="3" t="s">
        <v>221</v>
      </c>
      <c r="B78">
        <v>83328</v>
      </c>
    </row>
    <row r="79" spans="1:2" x14ac:dyDescent="0.25">
      <c r="A79" s="3" t="s">
        <v>174</v>
      </c>
      <c r="B79">
        <v>80200</v>
      </c>
    </row>
    <row r="80" spans="1:2" x14ac:dyDescent="0.25">
      <c r="A80" s="3" t="s">
        <v>305</v>
      </c>
      <c r="B80">
        <v>75582</v>
      </c>
    </row>
    <row r="81" spans="1:2" x14ac:dyDescent="0.25">
      <c r="A81" s="3" t="s">
        <v>140</v>
      </c>
      <c r="B81">
        <v>68238</v>
      </c>
    </row>
    <row r="82" spans="1:2" x14ac:dyDescent="0.25">
      <c r="A82" s="3" t="s">
        <v>242</v>
      </c>
      <c r="B82">
        <v>63612</v>
      </c>
    </row>
    <row r="83" spans="1:2" x14ac:dyDescent="0.25">
      <c r="A83" s="3" t="s">
        <v>45</v>
      </c>
      <c r="B83">
        <v>59160</v>
      </c>
    </row>
    <row r="84" spans="1:2" x14ac:dyDescent="0.25">
      <c r="A84" s="3" t="s">
        <v>191</v>
      </c>
      <c r="B84">
        <v>56189</v>
      </c>
    </row>
    <row r="85" spans="1:2" x14ac:dyDescent="0.25">
      <c r="A85" s="3" t="s">
        <v>181</v>
      </c>
      <c r="B85">
        <v>51425</v>
      </c>
    </row>
    <row r="86" spans="1:2" x14ac:dyDescent="0.25">
      <c r="A86" s="3" t="s">
        <v>88</v>
      </c>
      <c r="B86">
        <v>46154</v>
      </c>
    </row>
    <row r="87" spans="1:2" x14ac:dyDescent="0.25">
      <c r="A87" s="3" t="s">
        <v>296</v>
      </c>
      <c r="B87">
        <v>43296</v>
      </c>
    </row>
    <row r="88" spans="1:2" x14ac:dyDescent="0.25">
      <c r="A88" s="3" t="s">
        <v>63</v>
      </c>
      <c r="B88">
        <v>43176</v>
      </c>
    </row>
    <row r="89" spans="1:2" x14ac:dyDescent="0.25">
      <c r="A89" s="3" t="s">
        <v>19</v>
      </c>
      <c r="B89">
        <v>40662</v>
      </c>
    </row>
    <row r="90" spans="1:2" x14ac:dyDescent="0.25">
      <c r="A90" s="3" t="s">
        <v>105</v>
      </c>
      <c r="B90">
        <v>32111</v>
      </c>
    </row>
    <row r="91" spans="1:2" x14ac:dyDescent="0.25">
      <c r="A91" s="3" t="s">
        <v>323</v>
      </c>
      <c r="B91">
        <v>29736</v>
      </c>
    </row>
    <row r="92" spans="1:2" x14ac:dyDescent="0.25">
      <c r="A92" s="3" t="s">
        <v>283</v>
      </c>
      <c r="B92">
        <v>25915</v>
      </c>
    </row>
    <row r="93" spans="1:2" x14ac:dyDescent="0.25">
      <c r="A93" s="3" t="s">
        <v>310</v>
      </c>
      <c r="B93">
        <v>21840</v>
      </c>
    </row>
    <row r="94" spans="1:2" x14ac:dyDescent="0.25">
      <c r="A94" s="3" t="s">
        <v>299</v>
      </c>
      <c r="B94">
        <v>21424</v>
      </c>
    </row>
    <row r="95" spans="1:2" x14ac:dyDescent="0.25">
      <c r="A95" s="3" t="s">
        <v>288</v>
      </c>
      <c r="B95">
        <v>20650</v>
      </c>
    </row>
    <row r="96" spans="1:2" x14ac:dyDescent="0.25">
      <c r="A96" s="3" t="s">
        <v>79</v>
      </c>
      <c r="B96">
        <v>16059</v>
      </c>
    </row>
    <row r="97" spans="1:2" x14ac:dyDescent="0.25">
      <c r="A97" s="3" t="s">
        <v>303</v>
      </c>
      <c r="B97">
        <v>9980</v>
      </c>
    </row>
    <row r="98" spans="1:2" x14ac:dyDescent="0.25">
      <c r="A98" s="3" t="s">
        <v>275</v>
      </c>
      <c r="B98">
        <v>9971</v>
      </c>
    </row>
    <row r="99" spans="1:2" x14ac:dyDescent="0.25">
      <c r="A99" s="3" t="s">
        <v>293</v>
      </c>
      <c r="B99">
        <v>6973</v>
      </c>
    </row>
    <row r="100" spans="1:2" x14ac:dyDescent="0.25">
      <c r="A100" s="3" t="s">
        <v>265</v>
      </c>
      <c r="B100">
        <v>5268</v>
      </c>
    </row>
    <row r="101" spans="1:2" x14ac:dyDescent="0.25">
      <c r="A101" s="3" t="s">
        <v>337</v>
      </c>
      <c r="B101">
        <v>3621</v>
      </c>
    </row>
    <row r="102" spans="1:2" x14ac:dyDescent="0.25">
      <c r="A102" s="3" t="s">
        <v>93</v>
      </c>
      <c r="B102">
        <v>2196</v>
      </c>
    </row>
    <row r="103" spans="1:2" x14ac:dyDescent="0.25">
      <c r="A103" s="3" t="s">
        <v>261</v>
      </c>
      <c r="B103">
        <v>1235</v>
      </c>
    </row>
    <row r="104" spans="1:2" x14ac:dyDescent="0.25">
      <c r="A104" s="3" t="s">
        <v>35</v>
      </c>
      <c r="B104">
        <v>925</v>
      </c>
    </row>
    <row r="105" spans="1:2" x14ac:dyDescent="0.25">
      <c r="A105" s="3" t="s">
        <v>342</v>
      </c>
      <c r="B105">
        <v>24663620.260000002</v>
      </c>
    </row>
  </sheetData>
  <conditionalFormatting pivot="1" sqref="B4:B40 B42:B104">
    <cfRule type="top10" dxfId="37" priority="2" rank="10"/>
  </conditionalFormatting>
  <conditionalFormatting pivot="1" sqref="B4:B40 B42:B104">
    <cfRule type="top10" dxfId="36" priority="1" bottom="1" rank="10"/>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A5D4-D0B6-4420-8916-09A1BB355C2F}">
  <dimension ref="A3:A37"/>
  <sheetViews>
    <sheetView topLeftCell="A13" workbookViewId="0">
      <selection activeCell="A3" sqref="A3"/>
    </sheetView>
  </sheetViews>
  <sheetFormatPr defaultRowHeight="15" x14ac:dyDescent="0.25"/>
  <cols>
    <col min="1" max="1" width="28.5703125" bestFit="1" customWidth="1"/>
    <col min="2" max="2" width="20.28515625" bestFit="1" customWidth="1"/>
  </cols>
  <sheetData>
    <row r="3" spans="1:1" x14ac:dyDescent="0.25">
      <c r="A3" s="2" t="s">
        <v>341</v>
      </c>
    </row>
    <row r="4" spans="1:1" x14ac:dyDescent="0.25">
      <c r="A4" s="3" t="s">
        <v>256</v>
      </c>
    </row>
    <row r="5" spans="1:1" x14ac:dyDescent="0.25">
      <c r="A5" s="3" t="s">
        <v>51</v>
      </c>
    </row>
    <row r="6" spans="1:1" x14ac:dyDescent="0.25">
      <c r="A6" s="3" t="s">
        <v>211</v>
      </c>
    </row>
    <row r="7" spans="1:1" x14ac:dyDescent="0.25">
      <c r="A7" s="3" t="s">
        <v>110</v>
      </c>
    </row>
    <row r="8" spans="1:1" x14ac:dyDescent="0.25">
      <c r="A8" s="3" t="s">
        <v>13</v>
      </c>
    </row>
    <row r="9" spans="1:1" x14ac:dyDescent="0.25">
      <c r="A9" s="3" t="s">
        <v>218</v>
      </c>
    </row>
    <row r="10" spans="1:1" x14ac:dyDescent="0.25">
      <c r="A10" s="3" t="s">
        <v>195</v>
      </c>
    </row>
    <row r="11" spans="1:1" x14ac:dyDescent="0.25">
      <c r="A11" s="3" t="s">
        <v>68</v>
      </c>
    </row>
    <row r="12" spans="1:1" x14ac:dyDescent="0.25">
      <c r="A12" s="3" t="s">
        <v>129</v>
      </c>
    </row>
    <row r="13" spans="1:1" x14ac:dyDescent="0.25">
      <c r="A13" s="3" t="s">
        <v>72</v>
      </c>
    </row>
    <row r="14" spans="1:1" x14ac:dyDescent="0.25">
      <c r="A14" s="3" t="s">
        <v>175</v>
      </c>
    </row>
    <row r="15" spans="1:1" x14ac:dyDescent="0.25">
      <c r="A15" s="3" t="s">
        <v>59</v>
      </c>
    </row>
    <row r="16" spans="1:1" x14ac:dyDescent="0.25">
      <c r="A16" s="3" t="s">
        <v>145</v>
      </c>
    </row>
    <row r="17" spans="1:1" x14ac:dyDescent="0.25">
      <c r="A17" s="3" t="s">
        <v>134</v>
      </c>
    </row>
    <row r="18" spans="1:1" x14ac:dyDescent="0.25">
      <c r="A18" s="3" t="s">
        <v>118</v>
      </c>
    </row>
    <row r="19" spans="1:1" x14ac:dyDescent="0.25">
      <c r="A19" s="3" t="s">
        <v>170</v>
      </c>
    </row>
    <row r="20" spans="1:1" x14ac:dyDescent="0.25">
      <c r="A20" s="3" t="s">
        <v>64</v>
      </c>
    </row>
    <row r="21" spans="1:1" x14ac:dyDescent="0.25">
      <c r="A21" s="3" t="s">
        <v>273</v>
      </c>
    </row>
    <row r="22" spans="1:1" x14ac:dyDescent="0.25">
      <c r="A22" s="3" t="s">
        <v>182</v>
      </c>
    </row>
    <row r="23" spans="1:1" x14ac:dyDescent="0.25">
      <c r="A23" s="3" t="s">
        <v>36</v>
      </c>
    </row>
    <row r="24" spans="1:1" x14ac:dyDescent="0.25">
      <c r="A24" s="3" t="s">
        <v>26</v>
      </c>
    </row>
    <row r="25" spans="1:1" x14ac:dyDescent="0.25">
      <c r="A25" s="3" t="s">
        <v>46</v>
      </c>
    </row>
    <row r="26" spans="1:1" x14ac:dyDescent="0.25">
      <c r="A26" s="3" t="s">
        <v>269</v>
      </c>
    </row>
    <row r="27" spans="1:1" x14ac:dyDescent="0.25">
      <c r="A27" s="3" t="s">
        <v>231</v>
      </c>
    </row>
    <row r="28" spans="1:1" x14ac:dyDescent="0.25">
      <c r="A28" s="3" t="s">
        <v>178</v>
      </c>
    </row>
    <row r="29" spans="1:1" x14ac:dyDescent="0.25">
      <c r="A29" s="3" t="s">
        <v>20</v>
      </c>
    </row>
    <row r="30" spans="1:1" x14ac:dyDescent="0.25">
      <c r="A30" s="3" t="s">
        <v>41</v>
      </c>
    </row>
    <row r="31" spans="1:1" x14ac:dyDescent="0.25">
      <c r="A31" s="3" t="s">
        <v>102</v>
      </c>
    </row>
    <row r="32" spans="1:1" x14ac:dyDescent="0.25">
      <c r="A32" s="3" t="s">
        <v>262</v>
      </c>
    </row>
    <row r="33" spans="1:1" x14ac:dyDescent="0.25">
      <c r="A33" s="3" t="s">
        <v>141</v>
      </c>
    </row>
    <row r="34" spans="1:1" x14ac:dyDescent="0.25">
      <c r="A34" s="3" t="s">
        <v>83</v>
      </c>
    </row>
    <row r="35" spans="1:1" x14ac:dyDescent="0.25">
      <c r="A35" s="3" t="s">
        <v>106</v>
      </c>
    </row>
    <row r="36" spans="1:1" x14ac:dyDescent="0.25">
      <c r="A36" s="3" t="s">
        <v>355</v>
      </c>
    </row>
    <row r="37" spans="1:1" x14ac:dyDescent="0.25">
      <c r="A37" s="3" t="s">
        <v>342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E3ABC-2E65-45C7-B350-C3DDD299B95C}">
  <dimension ref="A3:A37"/>
  <sheetViews>
    <sheetView topLeftCell="A3" workbookViewId="0">
      <selection activeCell="A3" sqref="A3"/>
    </sheetView>
  </sheetViews>
  <sheetFormatPr defaultRowHeight="15" x14ac:dyDescent="0.25"/>
  <cols>
    <col min="1" max="1" width="28.5703125" bestFit="1" customWidth="1"/>
    <col min="2" max="2" width="21" bestFit="1" customWidth="1"/>
  </cols>
  <sheetData>
    <row r="3" spans="1:1" x14ac:dyDescent="0.25">
      <c r="A3" s="2" t="s">
        <v>341</v>
      </c>
    </row>
    <row r="4" spans="1:1" x14ac:dyDescent="0.25">
      <c r="A4" s="3" t="s">
        <v>256</v>
      </c>
    </row>
    <row r="5" spans="1:1" x14ac:dyDescent="0.25">
      <c r="A5" s="3" t="s">
        <v>51</v>
      </c>
    </row>
    <row r="6" spans="1:1" x14ac:dyDescent="0.25">
      <c r="A6" s="3" t="s">
        <v>211</v>
      </c>
    </row>
    <row r="7" spans="1:1" x14ac:dyDescent="0.25">
      <c r="A7" s="3" t="s">
        <v>110</v>
      </c>
    </row>
    <row r="8" spans="1:1" x14ac:dyDescent="0.25">
      <c r="A8" s="3" t="s">
        <v>13</v>
      </c>
    </row>
    <row r="9" spans="1:1" x14ac:dyDescent="0.25">
      <c r="A9" s="3" t="s">
        <v>218</v>
      </c>
    </row>
    <row r="10" spans="1:1" x14ac:dyDescent="0.25">
      <c r="A10" s="3" t="s">
        <v>195</v>
      </c>
    </row>
    <row r="11" spans="1:1" x14ac:dyDescent="0.25">
      <c r="A11" s="3" t="s">
        <v>68</v>
      </c>
    </row>
    <row r="12" spans="1:1" x14ac:dyDescent="0.25">
      <c r="A12" s="3" t="s">
        <v>129</v>
      </c>
    </row>
    <row r="13" spans="1:1" x14ac:dyDescent="0.25">
      <c r="A13" s="3" t="s">
        <v>72</v>
      </c>
    </row>
    <row r="14" spans="1:1" x14ac:dyDescent="0.25">
      <c r="A14" s="3" t="s">
        <v>175</v>
      </c>
    </row>
    <row r="15" spans="1:1" x14ac:dyDescent="0.25">
      <c r="A15" s="3" t="s">
        <v>59</v>
      </c>
    </row>
    <row r="16" spans="1:1" x14ac:dyDescent="0.25">
      <c r="A16" s="3" t="s">
        <v>145</v>
      </c>
    </row>
    <row r="17" spans="1:1" x14ac:dyDescent="0.25">
      <c r="A17" s="3" t="s">
        <v>134</v>
      </c>
    </row>
    <row r="18" spans="1:1" x14ac:dyDescent="0.25">
      <c r="A18" s="3" t="s">
        <v>118</v>
      </c>
    </row>
    <row r="19" spans="1:1" x14ac:dyDescent="0.25">
      <c r="A19" s="3" t="s">
        <v>170</v>
      </c>
    </row>
    <row r="20" spans="1:1" x14ac:dyDescent="0.25">
      <c r="A20" s="3" t="s">
        <v>64</v>
      </c>
    </row>
    <row r="21" spans="1:1" x14ac:dyDescent="0.25">
      <c r="A21" s="3" t="s">
        <v>273</v>
      </c>
    </row>
    <row r="22" spans="1:1" x14ac:dyDescent="0.25">
      <c r="A22" s="3" t="s">
        <v>182</v>
      </c>
    </row>
    <row r="23" spans="1:1" x14ac:dyDescent="0.25">
      <c r="A23" s="3" t="s">
        <v>36</v>
      </c>
    </row>
    <row r="24" spans="1:1" x14ac:dyDescent="0.25">
      <c r="A24" s="3" t="s">
        <v>26</v>
      </c>
    </row>
    <row r="25" spans="1:1" x14ac:dyDescent="0.25">
      <c r="A25" s="3" t="s">
        <v>46</v>
      </c>
    </row>
    <row r="26" spans="1:1" x14ac:dyDescent="0.25">
      <c r="A26" s="3" t="s">
        <v>269</v>
      </c>
    </row>
    <row r="27" spans="1:1" x14ac:dyDescent="0.25">
      <c r="A27" s="3" t="s">
        <v>231</v>
      </c>
    </row>
    <row r="28" spans="1:1" x14ac:dyDescent="0.25">
      <c r="A28" s="3" t="s">
        <v>178</v>
      </c>
    </row>
    <row r="29" spans="1:1" x14ac:dyDescent="0.25">
      <c r="A29" s="3" t="s">
        <v>20</v>
      </c>
    </row>
    <row r="30" spans="1:1" x14ac:dyDescent="0.25">
      <c r="A30" s="3" t="s">
        <v>41</v>
      </c>
    </row>
    <row r="31" spans="1:1" x14ac:dyDescent="0.25">
      <c r="A31" s="3" t="s">
        <v>102</v>
      </c>
    </row>
    <row r="32" spans="1:1" x14ac:dyDescent="0.25">
      <c r="A32" s="3" t="s">
        <v>262</v>
      </c>
    </row>
    <row r="33" spans="1:1" x14ac:dyDescent="0.25">
      <c r="A33" s="3" t="s">
        <v>141</v>
      </c>
    </row>
    <row r="34" spans="1:1" x14ac:dyDescent="0.25">
      <c r="A34" s="3" t="s">
        <v>83</v>
      </c>
    </row>
    <row r="35" spans="1:1" x14ac:dyDescent="0.25">
      <c r="A35" s="3" t="s">
        <v>106</v>
      </c>
    </row>
    <row r="36" spans="1:1" x14ac:dyDescent="0.25">
      <c r="A36" s="3" t="s">
        <v>355</v>
      </c>
    </row>
    <row r="37" spans="1:1" x14ac:dyDescent="0.25">
      <c r="A37" s="3" t="s">
        <v>342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3DF7F-B065-4564-BEA8-6A19DA9EF07F}">
  <dimension ref="A3:C37"/>
  <sheetViews>
    <sheetView topLeftCell="A18" zoomScale="111" workbookViewId="0">
      <selection activeCell="B42" sqref="B42"/>
    </sheetView>
  </sheetViews>
  <sheetFormatPr defaultRowHeight="15" x14ac:dyDescent="0.25"/>
  <cols>
    <col min="1" max="1" width="28.5703125" bestFit="1" customWidth="1"/>
    <col min="2" max="2" width="20" bestFit="1" customWidth="1"/>
    <col min="3" max="3" width="28.28515625" bestFit="1" customWidth="1"/>
    <col min="4" max="4" width="11.28515625" bestFit="1" customWidth="1"/>
  </cols>
  <sheetData>
    <row r="3" spans="1:3" x14ac:dyDescent="0.25">
      <c r="A3" s="2" t="s">
        <v>341</v>
      </c>
      <c r="B3" t="s">
        <v>360</v>
      </c>
      <c r="C3" t="s">
        <v>361</v>
      </c>
    </row>
    <row r="4" spans="1:3" x14ac:dyDescent="0.25">
      <c r="A4" s="3" t="s">
        <v>256</v>
      </c>
      <c r="B4">
        <v>1</v>
      </c>
      <c r="C4">
        <v>1</v>
      </c>
    </row>
    <row r="5" spans="1:3" x14ac:dyDescent="0.25">
      <c r="A5" s="3" t="s">
        <v>51</v>
      </c>
      <c r="B5">
        <v>6</v>
      </c>
      <c r="C5">
        <v>6</v>
      </c>
    </row>
    <row r="6" spans="1:3" x14ac:dyDescent="0.25">
      <c r="A6" s="3" t="s">
        <v>211</v>
      </c>
      <c r="B6">
        <v>4</v>
      </c>
      <c r="C6">
        <v>4</v>
      </c>
    </row>
    <row r="7" spans="1:3" x14ac:dyDescent="0.25">
      <c r="A7" s="3" t="s">
        <v>110</v>
      </c>
      <c r="B7">
        <v>4</v>
      </c>
      <c r="C7">
        <v>4</v>
      </c>
    </row>
    <row r="8" spans="1:3" x14ac:dyDescent="0.25">
      <c r="A8" s="3" t="s">
        <v>13</v>
      </c>
      <c r="B8">
        <v>4</v>
      </c>
      <c r="C8">
        <v>4</v>
      </c>
    </row>
    <row r="9" spans="1:3" x14ac:dyDescent="0.25">
      <c r="A9" s="3" t="s">
        <v>218</v>
      </c>
      <c r="B9">
        <v>2</v>
      </c>
      <c r="C9">
        <v>2</v>
      </c>
    </row>
    <row r="10" spans="1:3" x14ac:dyDescent="0.25">
      <c r="A10" s="3" t="s">
        <v>195</v>
      </c>
      <c r="B10">
        <v>3</v>
      </c>
      <c r="C10">
        <v>3</v>
      </c>
    </row>
    <row r="11" spans="1:3" x14ac:dyDescent="0.25">
      <c r="A11" s="3" t="s">
        <v>68</v>
      </c>
      <c r="B11">
        <v>6</v>
      </c>
      <c r="C11">
        <v>6</v>
      </c>
    </row>
    <row r="12" spans="1:3" x14ac:dyDescent="0.25">
      <c r="A12" s="3" t="s">
        <v>129</v>
      </c>
      <c r="B12">
        <v>1</v>
      </c>
      <c r="C12">
        <v>1</v>
      </c>
    </row>
    <row r="13" spans="1:3" x14ac:dyDescent="0.25">
      <c r="A13" s="3" t="s">
        <v>72</v>
      </c>
      <c r="B13">
        <v>3</v>
      </c>
      <c r="C13">
        <v>3</v>
      </c>
    </row>
    <row r="14" spans="1:3" x14ac:dyDescent="0.25">
      <c r="A14" s="3" t="s">
        <v>175</v>
      </c>
      <c r="B14">
        <v>1</v>
      </c>
      <c r="C14">
        <v>1</v>
      </c>
    </row>
    <row r="15" spans="1:3" x14ac:dyDescent="0.25">
      <c r="A15" s="3" t="s">
        <v>59</v>
      </c>
      <c r="B15">
        <v>3</v>
      </c>
      <c r="C15">
        <v>3</v>
      </c>
    </row>
    <row r="16" spans="1:3" x14ac:dyDescent="0.25">
      <c r="A16" s="3" t="s">
        <v>145</v>
      </c>
      <c r="B16">
        <v>4</v>
      </c>
      <c r="C16">
        <v>4</v>
      </c>
    </row>
    <row r="17" spans="1:3" x14ac:dyDescent="0.25">
      <c r="A17" s="3" t="s">
        <v>134</v>
      </c>
      <c r="B17">
        <v>2</v>
      </c>
      <c r="C17">
        <v>2</v>
      </c>
    </row>
    <row r="18" spans="1:3" x14ac:dyDescent="0.25">
      <c r="A18" s="3" t="s">
        <v>118</v>
      </c>
      <c r="B18">
        <v>2</v>
      </c>
      <c r="C18">
        <v>2</v>
      </c>
    </row>
    <row r="19" spans="1:3" x14ac:dyDescent="0.25">
      <c r="A19" s="3" t="s">
        <v>170</v>
      </c>
      <c r="B19">
        <v>3</v>
      </c>
      <c r="C19">
        <v>3</v>
      </c>
    </row>
    <row r="20" spans="1:3" x14ac:dyDescent="0.25">
      <c r="A20" s="3" t="s">
        <v>64</v>
      </c>
      <c r="B20">
        <v>6</v>
      </c>
      <c r="C20">
        <v>6</v>
      </c>
    </row>
    <row r="21" spans="1:3" x14ac:dyDescent="0.25">
      <c r="A21" s="3" t="s">
        <v>273</v>
      </c>
      <c r="B21">
        <v>2</v>
      </c>
      <c r="C21">
        <v>2</v>
      </c>
    </row>
    <row r="22" spans="1:3" x14ac:dyDescent="0.25">
      <c r="A22" s="3" t="s">
        <v>182</v>
      </c>
      <c r="B22">
        <v>2</v>
      </c>
      <c r="C22">
        <v>2</v>
      </c>
    </row>
    <row r="23" spans="1:3" x14ac:dyDescent="0.25">
      <c r="A23" s="3" t="s">
        <v>36</v>
      </c>
      <c r="B23">
        <v>5</v>
      </c>
      <c r="C23">
        <v>5</v>
      </c>
    </row>
    <row r="24" spans="1:3" x14ac:dyDescent="0.25">
      <c r="A24" s="3" t="s">
        <v>26</v>
      </c>
      <c r="B24">
        <v>3</v>
      </c>
      <c r="C24">
        <v>3</v>
      </c>
    </row>
    <row r="25" spans="1:3" x14ac:dyDescent="0.25">
      <c r="A25" s="3" t="s">
        <v>46</v>
      </c>
      <c r="B25">
        <v>3</v>
      </c>
      <c r="C25">
        <v>3</v>
      </c>
    </row>
    <row r="26" spans="1:3" x14ac:dyDescent="0.25">
      <c r="A26" s="3" t="s">
        <v>269</v>
      </c>
      <c r="B26">
        <v>2</v>
      </c>
      <c r="C26">
        <v>2</v>
      </c>
    </row>
    <row r="27" spans="1:3" x14ac:dyDescent="0.25">
      <c r="A27" s="3" t="s">
        <v>231</v>
      </c>
      <c r="B27">
        <v>2</v>
      </c>
      <c r="C27">
        <v>2</v>
      </c>
    </row>
    <row r="28" spans="1:3" x14ac:dyDescent="0.25">
      <c r="A28" s="3" t="s">
        <v>178</v>
      </c>
      <c r="B28">
        <v>5</v>
      </c>
      <c r="C28">
        <v>5</v>
      </c>
    </row>
    <row r="29" spans="1:3" x14ac:dyDescent="0.25">
      <c r="A29" s="3" t="s">
        <v>20</v>
      </c>
      <c r="B29">
        <v>2</v>
      </c>
      <c r="C29">
        <v>2</v>
      </c>
    </row>
    <row r="30" spans="1:3" x14ac:dyDescent="0.25">
      <c r="A30" s="3" t="s">
        <v>41</v>
      </c>
      <c r="B30">
        <v>3</v>
      </c>
      <c r="C30">
        <v>3</v>
      </c>
    </row>
    <row r="31" spans="1:3" x14ac:dyDescent="0.25">
      <c r="A31" s="3" t="s">
        <v>102</v>
      </c>
      <c r="B31">
        <v>4</v>
      </c>
      <c r="C31">
        <v>4</v>
      </c>
    </row>
    <row r="32" spans="1:3" x14ac:dyDescent="0.25">
      <c r="A32" s="3" t="s">
        <v>262</v>
      </c>
      <c r="B32">
        <v>2</v>
      </c>
      <c r="C32">
        <v>2</v>
      </c>
    </row>
    <row r="33" spans="1:3" x14ac:dyDescent="0.25">
      <c r="A33" s="3" t="s">
        <v>141</v>
      </c>
      <c r="B33">
        <v>3</v>
      </c>
      <c r="C33">
        <v>3</v>
      </c>
    </row>
    <row r="34" spans="1:3" x14ac:dyDescent="0.25">
      <c r="A34" s="3" t="s">
        <v>83</v>
      </c>
      <c r="B34">
        <v>2</v>
      </c>
      <c r="C34">
        <v>2</v>
      </c>
    </row>
    <row r="35" spans="1:3" x14ac:dyDescent="0.25">
      <c r="A35" s="3" t="s">
        <v>106</v>
      </c>
      <c r="B35">
        <v>5</v>
      </c>
      <c r="C35">
        <v>5</v>
      </c>
    </row>
    <row r="36" spans="1:3" x14ac:dyDescent="0.25">
      <c r="A36" s="3" t="s">
        <v>355</v>
      </c>
    </row>
    <row r="37" spans="1:3" x14ac:dyDescent="0.25">
      <c r="A37" s="3" t="s">
        <v>342</v>
      </c>
      <c r="B37">
        <v>100</v>
      </c>
      <c r="C37">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F8BCD-5FB5-4221-9A91-F1355471F195}">
  <dimension ref="A1"/>
  <sheetViews>
    <sheetView tabSelected="1" zoomScale="47" workbookViewId="0">
      <selection activeCell="AC32" sqref="AC32"/>
    </sheetView>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2340-38C4-43A7-8EBF-0981E74A6181}">
  <dimension ref="A1:W139"/>
  <sheetViews>
    <sheetView topLeftCell="H4" zoomScale="96" workbookViewId="0">
      <selection activeCell="W7" sqref="W7"/>
    </sheetView>
  </sheetViews>
  <sheetFormatPr defaultRowHeight="15" x14ac:dyDescent="0.25"/>
  <cols>
    <col min="1" max="1" width="8.42578125" bestFit="1" customWidth="1"/>
    <col min="2" max="2" width="55" bestFit="1" customWidth="1"/>
    <col min="3" max="3" width="30.85546875" bestFit="1" customWidth="1"/>
    <col min="4" max="4" width="30.85546875" customWidth="1"/>
    <col min="5" max="5" width="28.7109375" bestFit="1" customWidth="1"/>
    <col min="6" max="6" width="10.140625" bestFit="1" customWidth="1"/>
    <col min="7" max="7" width="11.7109375" bestFit="1" customWidth="1"/>
    <col min="8" max="8" width="19.140625" bestFit="1" customWidth="1"/>
    <col min="9" max="9" width="12" bestFit="1" customWidth="1"/>
    <col min="10" max="10" width="20.85546875" bestFit="1" customWidth="1"/>
    <col min="11" max="11" width="11.7109375" bestFit="1" customWidth="1"/>
    <col min="12" max="12" width="13.28515625" bestFit="1" customWidth="1"/>
    <col min="13" max="13" width="16.5703125" customWidth="1"/>
    <col min="14" max="14" width="24.28515625" customWidth="1"/>
    <col min="15" max="15" width="23.7109375" customWidth="1"/>
    <col min="16" max="16" width="22.28515625" customWidth="1"/>
    <col min="17" max="17" width="20.42578125" customWidth="1"/>
    <col min="18" max="18" width="19" customWidth="1"/>
    <col min="19" max="19" width="29.85546875" customWidth="1"/>
    <col min="20" max="20" width="32.42578125" customWidth="1"/>
    <col min="22" max="24" width="11.28515625" customWidth="1"/>
    <col min="25" max="25" width="32.7109375" customWidth="1"/>
    <col min="26" max="27" width="13.28515625" customWidth="1"/>
  </cols>
  <sheetData>
    <row r="1" spans="1:23" x14ac:dyDescent="0.25">
      <c r="A1" t="s">
        <v>0</v>
      </c>
      <c r="B1" t="s">
        <v>1</v>
      </c>
      <c r="C1" t="s">
        <v>2</v>
      </c>
      <c r="D1" t="s">
        <v>3</v>
      </c>
      <c r="E1" t="s">
        <v>4</v>
      </c>
      <c r="F1" t="s">
        <v>5</v>
      </c>
      <c r="G1" t="s">
        <v>6</v>
      </c>
      <c r="H1" t="s">
        <v>7</v>
      </c>
      <c r="I1" t="s">
        <v>8</v>
      </c>
      <c r="J1" t="s">
        <v>9</v>
      </c>
      <c r="K1" t="s">
        <v>10</v>
      </c>
      <c r="L1" t="s">
        <v>11</v>
      </c>
      <c r="M1" t="s">
        <v>367</v>
      </c>
      <c r="N1" t="s">
        <v>357</v>
      </c>
      <c r="O1" t="s">
        <v>347</v>
      </c>
      <c r="P1" s="7" t="s">
        <v>358</v>
      </c>
      <c r="Q1" s="9" t="s">
        <v>356</v>
      </c>
      <c r="R1" s="9" t="s">
        <v>359</v>
      </c>
      <c r="S1" s="9" t="s">
        <v>362</v>
      </c>
      <c r="T1" s="9" t="s">
        <v>363</v>
      </c>
      <c r="U1" s="9" t="s">
        <v>366</v>
      </c>
      <c r="V1" s="4"/>
    </row>
    <row r="2" spans="1:23" x14ac:dyDescent="0.25">
      <c r="A2">
        <v>68</v>
      </c>
      <c r="B2" t="s">
        <v>254</v>
      </c>
      <c r="C2" t="s">
        <v>255</v>
      </c>
      <c r="D2" t="s">
        <v>256</v>
      </c>
      <c r="E2">
        <v>206</v>
      </c>
      <c r="F2" t="s">
        <v>14</v>
      </c>
      <c r="G2">
        <v>677</v>
      </c>
      <c r="H2">
        <v>8282848236311</v>
      </c>
      <c r="I2" t="s">
        <v>69</v>
      </c>
      <c r="J2" t="s">
        <v>22</v>
      </c>
      <c r="K2" t="s">
        <v>33</v>
      </c>
      <c r="L2">
        <v>6</v>
      </c>
      <c r="M2" t="str" cm="1">
        <f t="array" ref="M2">_xlfn.IFS(
OR(J2="XS", J2="5x7 in"), "XS",
OR(TRIM(UPPER(J2))="S", J2="Small", J2="8x10 in"), "S",
OR(J2="M", J2="Medium", J2="30x40 cm"), "M",
OR(J2="L", J2="Large", J2="50x70 cm"), "L",
OR(J2="XL", J2="Extra Large", J2="100x200 mm"), "XL",
OR(J2="XXL", J2="12x18 in"), "XXL", TRUE, "Other"
)</f>
        <v>S</v>
      </c>
      <c r="N2" t="str" cm="1">
        <f t="array" ref="N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NULL</v>
      </c>
      <c r="O2">
        <f xml:space="preserve"> products[[#This Row],[Price]] * products[[#This Row],[Stock]]</f>
        <v>139462</v>
      </c>
      <c r="P2" s="8" t="str" cm="1">
        <f t="array" ref="P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NULL</v>
      </c>
      <c r="Q2" s="10" t="str">
        <f>IF(products[[#This Row],[Stock]] &gt; AVERAGE(G2:G101),"High","Low")</f>
        <v>High</v>
      </c>
      <c r="R2" s="10" t="str">
        <f>IF(products[[#This Row],[Inventory value]]&gt;AVERAGE(O2:O101),"High","Low")</f>
        <v>Low</v>
      </c>
      <c r="S2" s="10">
        <f>IF(products[[#This Row],[Inventory Val. Status]]="High",1,0)</f>
        <v>0</v>
      </c>
      <c r="T2" s="10">
        <f>IF(products[[#This Row],[Price Outliers]]="High Outlier",1,0)</f>
        <v>0</v>
      </c>
      <c r="U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 s="5"/>
      <c r="W2" s="5"/>
    </row>
    <row r="3" spans="1:23" x14ac:dyDescent="0.25">
      <c r="A3">
        <v>17</v>
      </c>
      <c r="B3" t="s">
        <v>87</v>
      </c>
      <c r="C3" t="s">
        <v>88</v>
      </c>
      <c r="D3" t="s">
        <v>51</v>
      </c>
      <c r="E3">
        <v>982</v>
      </c>
      <c r="F3" t="s">
        <v>14</v>
      </c>
      <c r="G3">
        <v>47</v>
      </c>
      <c r="H3">
        <v>7887280730963</v>
      </c>
      <c r="I3" t="s">
        <v>89</v>
      </c>
      <c r="J3" t="s">
        <v>90</v>
      </c>
      <c r="K3" t="s">
        <v>91</v>
      </c>
      <c r="L3">
        <v>79</v>
      </c>
      <c r="M3" t="str" cm="1">
        <f t="array" ref="M3">_xlfn.IFS(
OR(J3="XS", J3="5x7 in"), "XS",
OR(TRIM(UPPER(J3))="S", J3="Small", J3="8x10 in"), "S",
OR(J3="M", J3="Medium", J3="30x40 cm"), "M",
OR(J3="L", J3="Large", J3="50x70 cm"), "L",
OR(J3="XL", J3="Extra Large", J3="100x200 mm"), "XL",
OR(J3="XXL", J3="12x18 in"), "XXL", TRUE, "Other"
)</f>
        <v>XL</v>
      </c>
      <c r="N3" t="str" cm="1">
        <f t="array" ref="N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3">
        <f xml:space="preserve"> products[[#This Row],[Price]] * products[[#This Row],[Stock]]</f>
        <v>46154</v>
      </c>
      <c r="P3" s="8" t="str" cm="1">
        <f t="array" ref="P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3" s="10" t="str">
        <f>IF(products[[#This Row],[Stock]] &gt; AVERAGE(G3:G102),"High","Low")</f>
        <v>Low</v>
      </c>
      <c r="R3" s="10" t="str">
        <f>IF(products[[#This Row],[Inventory value]]&gt;AVERAGE(O3:O102),"High","Low")</f>
        <v>Low</v>
      </c>
      <c r="S3" s="10">
        <f>IF(products[[#This Row],[Inventory Val. Status]]="High",1,0)</f>
        <v>0</v>
      </c>
      <c r="T3" s="10">
        <f>IF(products[[#This Row],[Price Outliers]]="High Outlier",1,0)</f>
        <v>1</v>
      </c>
      <c r="U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c r="V3" s="5"/>
      <c r="W3" s="5"/>
    </row>
    <row r="4" spans="1:23" x14ac:dyDescent="0.25">
      <c r="A4">
        <v>80</v>
      </c>
      <c r="B4" t="s">
        <v>290</v>
      </c>
      <c r="C4" t="s">
        <v>291</v>
      </c>
      <c r="D4" t="s">
        <v>51</v>
      </c>
      <c r="E4">
        <v>748</v>
      </c>
      <c r="F4" t="s">
        <v>14</v>
      </c>
      <c r="G4">
        <v>326</v>
      </c>
      <c r="H4">
        <v>6855062072649</v>
      </c>
      <c r="I4" t="s">
        <v>80</v>
      </c>
      <c r="J4" t="s">
        <v>48</v>
      </c>
      <c r="K4" t="s">
        <v>91</v>
      </c>
      <c r="L4">
        <v>81</v>
      </c>
      <c r="M4" t="str" cm="1">
        <f t="array" ref="M4">_xlfn.IFS(
OR(J4="XS", J4="5x7 in"), "XS",
OR(TRIM(UPPER(J4))="S", J4="Small", J4="8x10 in"), "S",
OR(J4="M", J4="Medium", J4="30x40 cm"), "M",
OR(J4="L", J4="Large", J4="50x70 cm"), "L",
OR(J4="XL", J4="Extra Large", J4="100x200 mm"), "XL",
OR(J4="XXL", J4="12x18 in"), "XXL", TRUE, "Other"
)</f>
        <v>S</v>
      </c>
      <c r="N4" t="str" cm="1">
        <f t="array" ref="N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
        <f xml:space="preserve"> products[[#This Row],[Price]] * products[[#This Row],[Stock]]</f>
        <v>243848</v>
      </c>
      <c r="P4" s="8" t="str" cm="1">
        <f t="array" ref="P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 s="10" t="str">
        <f>IF(products[[#This Row],[Stock]] &gt; AVERAGE(G4:G103),"High","Low")</f>
        <v>Low</v>
      </c>
      <c r="R4" s="10" t="str">
        <f>IF(products[[#This Row],[Inventory value]]&gt;AVERAGE(O4:O103),"High","Low")</f>
        <v>Low</v>
      </c>
      <c r="S4" s="10">
        <f>IF(products[[#This Row],[Inventory Val. Status]]="High",1,0)</f>
        <v>0</v>
      </c>
      <c r="T4" s="10">
        <f>IF(products[[#This Row],[Price Outliers]]="High Outlier",1,0)</f>
        <v>0</v>
      </c>
      <c r="U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4" s="5"/>
      <c r="W4" s="5"/>
    </row>
    <row r="5" spans="1:23" x14ac:dyDescent="0.25">
      <c r="A5">
        <v>8</v>
      </c>
      <c r="B5" t="s">
        <v>49</v>
      </c>
      <c r="C5" t="s">
        <v>50</v>
      </c>
      <c r="D5" t="s">
        <v>51</v>
      </c>
      <c r="E5">
        <v>159</v>
      </c>
      <c r="F5" t="s">
        <v>14</v>
      </c>
      <c r="G5">
        <v>584</v>
      </c>
      <c r="H5">
        <v>9883725074294</v>
      </c>
      <c r="I5" t="s">
        <v>52</v>
      </c>
      <c r="J5" t="s">
        <v>22</v>
      </c>
      <c r="K5" t="s">
        <v>17</v>
      </c>
      <c r="L5">
        <v>50</v>
      </c>
      <c r="M5" t="str" cm="1">
        <f t="array" ref="M5">_xlfn.IFS(
OR(J5="XS", J5="5x7 in"), "XS",
OR(TRIM(UPPER(J5))="S", J5="Small", J5="8x10 in"), "S",
OR(J5="M", J5="Medium", J5="30x40 cm"), "M",
OR(J5="L", J5="Large", J5="50x70 cm"), "L",
OR(J5="XL", J5="Extra Large", J5="100x200 mm"), "XL",
OR(J5="XXL", J5="12x18 in"), "XXL", TRUE, "Other"
)</f>
        <v>S</v>
      </c>
      <c r="N5" t="str" cm="1">
        <f t="array" ref="N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
        <f xml:space="preserve"> products[[#This Row],[Price]] * products[[#This Row],[Stock]]</f>
        <v>92856</v>
      </c>
      <c r="P5" s="8" t="str" cm="1">
        <f t="array" ref="P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 s="10" t="str">
        <f>IF(products[[#This Row],[Stock]] &gt; AVERAGE(G5:G104),"High","Low")</f>
        <v>High</v>
      </c>
      <c r="R5" s="10" t="str">
        <f>IF(products[[#This Row],[Inventory value]]&gt;AVERAGE(O5:O104),"High","Low")</f>
        <v>Low</v>
      </c>
      <c r="S5" s="10">
        <f>IF(products[[#This Row],[Inventory Val. Status]]="High",1,0)</f>
        <v>0</v>
      </c>
      <c r="T5" s="10">
        <f>IF(products[[#This Row],[Price Outliers]]="High Outlier",1,0)</f>
        <v>0</v>
      </c>
      <c r="U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5" s="5"/>
      <c r="W5" s="5"/>
    </row>
    <row r="6" spans="1:23" x14ac:dyDescent="0.25">
      <c r="A6">
        <v>14</v>
      </c>
      <c r="B6" t="s">
        <v>74</v>
      </c>
      <c r="C6" t="s">
        <v>75</v>
      </c>
      <c r="D6" t="s">
        <v>51</v>
      </c>
      <c r="E6">
        <v>279</v>
      </c>
      <c r="F6" t="s">
        <v>14</v>
      </c>
      <c r="G6">
        <v>818</v>
      </c>
      <c r="H6">
        <v>1941032767914</v>
      </c>
      <c r="I6" t="s">
        <v>76</v>
      </c>
      <c r="J6" t="s">
        <v>77</v>
      </c>
      <c r="K6" t="s">
        <v>17</v>
      </c>
      <c r="L6">
        <v>66</v>
      </c>
      <c r="M6" t="str" cm="1">
        <f t="array" ref="M6">_xlfn.IFS(
OR(J6="XS", J6="5x7 in"), "XS",
OR(TRIM(UPPER(J6))="S", J6="Small", J6="8x10 in"), "S",
OR(J6="M", J6="Medium", J6="30x40 cm"), "M",
OR(J6="L", J6="Large", J6="50x70 cm"), "L",
OR(J6="XL", J6="Extra Large", J6="100x200 mm"), "XL",
OR(J6="XXL", J6="12x18 in"), "XXL", TRUE, "Other"
)</f>
        <v>XXL</v>
      </c>
      <c r="N6" t="str" cm="1">
        <f t="array" ref="N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6">
        <f xml:space="preserve"> products[[#This Row],[Price]] * products[[#This Row],[Stock]]</f>
        <v>228222</v>
      </c>
      <c r="P6" s="8" t="str" cm="1">
        <f t="array" ref="P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 s="10" t="str">
        <f>IF(products[[#This Row],[Stock]] &gt; AVERAGE(G6:G105),"High","Low")</f>
        <v>High</v>
      </c>
      <c r="R6" s="10" t="str">
        <f>IF(products[[#This Row],[Inventory value]]&gt;AVERAGE(O6:O105),"High","Low")</f>
        <v>Low</v>
      </c>
      <c r="S6" s="10">
        <f>IF(products[[#This Row],[Inventory Val. Status]]="High",1,0)</f>
        <v>0</v>
      </c>
      <c r="T6" s="10">
        <f>IF(products[[#This Row],[Price Outliers]]="High Outlier",1,0)</f>
        <v>0</v>
      </c>
      <c r="U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6" s="5"/>
      <c r="W6" s="5"/>
    </row>
    <row r="7" spans="1:23" x14ac:dyDescent="0.25">
      <c r="A7">
        <v>27</v>
      </c>
      <c r="B7" t="s">
        <v>124</v>
      </c>
      <c r="C7" t="s">
        <v>125</v>
      </c>
      <c r="D7" t="s">
        <v>51</v>
      </c>
      <c r="E7">
        <v>350</v>
      </c>
      <c r="F7" t="s">
        <v>14</v>
      </c>
      <c r="G7">
        <v>756</v>
      </c>
      <c r="H7">
        <v>3486711401836</v>
      </c>
      <c r="I7" t="s">
        <v>126</v>
      </c>
      <c r="J7" t="s">
        <v>90</v>
      </c>
      <c r="K7" t="s">
        <v>17</v>
      </c>
      <c r="L7">
        <v>61</v>
      </c>
      <c r="M7" t="str" cm="1">
        <f t="array" ref="M7">_xlfn.IFS(
OR(J7="XS", J7="5x7 in"), "XS",
OR(TRIM(UPPER(J7))="S", J7="Small", J7="8x10 in"), "S",
OR(J7="M", J7="Medium", J7="30x40 cm"), "M",
OR(J7="L", J7="Large", J7="50x70 cm"), "L",
OR(J7="XL", J7="Extra Large", J7="100x200 mm"), "XL",
OR(J7="XXL", J7="12x18 in"), "XXL", TRUE, "Other"
)</f>
        <v>XL</v>
      </c>
      <c r="N7" t="str" cm="1">
        <f t="array" ref="N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
        <f xml:space="preserve"> products[[#This Row],[Price]] * products[[#This Row],[Stock]]</f>
        <v>264600</v>
      </c>
      <c r="P7" s="8" t="str" cm="1">
        <f t="array" ref="P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 s="10" t="str">
        <f>IF(products[[#This Row],[Stock]] &gt; AVERAGE(G7:G106),"High","Low")</f>
        <v>High</v>
      </c>
      <c r="R7" s="10" t="str">
        <f>IF(products[[#This Row],[Inventory value]]&gt;AVERAGE(O7:O106),"High","Low")</f>
        <v>High</v>
      </c>
      <c r="S7" s="10">
        <f>IF(products[[#This Row],[Inventory Val. Status]]="High",1,0)</f>
        <v>1</v>
      </c>
      <c r="T7" s="10">
        <f>IF(products[[#This Row],[Price Outliers]]="High Outlier",1,0)</f>
        <v>0</v>
      </c>
      <c r="U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c r="V7" s="5"/>
      <c r="W7" s="5"/>
    </row>
    <row r="8" spans="1:23" x14ac:dyDescent="0.25">
      <c r="A8">
        <v>71</v>
      </c>
      <c r="B8" t="s">
        <v>264</v>
      </c>
      <c r="C8" t="s">
        <v>265</v>
      </c>
      <c r="D8" t="s">
        <v>51</v>
      </c>
      <c r="E8">
        <v>12</v>
      </c>
      <c r="F8" t="s">
        <v>14</v>
      </c>
      <c r="G8">
        <v>439</v>
      </c>
      <c r="H8">
        <v>3997003361528</v>
      </c>
      <c r="I8" t="s">
        <v>266</v>
      </c>
      <c r="J8" t="s">
        <v>28</v>
      </c>
      <c r="K8" t="s">
        <v>17</v>
      </c>
      <c r="L8">
        <v>40</v>
      </c>
      <c r="M8" t="str" cm="1">
        <f t="array" ref="M8">_xlfn.IFS(
OR(J8="XS", J8="5x7 in"), "XS",
OR(TRIM(UPPER(J8))="S", J8="Small", J8="8x10 in"), "S",
OR(J8="M", J8="Medium", J8="30x40 cm"), "M",
OR(J8="L", J8="Large", J8="50x70 cm"), "L",
OR(J8="XL", J8="Extra Large", J8="100x200 mm"), "XL",
OR(J8="XXL", J8="12x18 in"), "XXL", TRUE, "Other"
)</f>
        <v>XS</v>
      </c>
      <c r="N8" t="str" cm="1">
        <f t="array" ref="N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
        <f xml:space="preserve"> products[[#This Row],[Price]] * products[[#This Row],[Stock]]</f>
        <v>5268</v>
      </c>
      <c r="P8" s="8" t="str" cm="1">
        <f t="array" ref="P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8" s="10" t="str">
        <f>IF(products[[#This Row],[Stock]] &gt; AVERAGE(G8:G107),"High","Low")</f>
        <v>Low</v>
      </c>
      <c r="R8" s="10" t="str">
        <f>IF(products[[#This Row],[Inventory value]]&gt;AVERAGE(O8:O107),"High","Low")</f>
        <v>Low</v>
      </c>
      <c r="S8" s="10">
        <f>IF(products[[#This Row],[Inventory Val. Status]]="High",1,0)</f>
        <v>0</v>
      </c>
      <c r="T8" s="10">
        <f>IF(products[[#This Row],[Price Outliers]]="High Outlier",1,0)</f>
        <v>0</v>
      </c>
      <c r="U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8" s="5"/>
      <c r="W8" s="5"/>
    </row>
    <row r="9" spans="1:23" x14ac:dyDescent="0.25">
      <c r="A9">
        <v>69</v>
      </c>
      <c r="B9" t="s">
        <v>257</v>
      </c>
      <c r="C9" t="s">
        <v>258</v>
      </c>
      <c r="D9" t="s">
        <v>211</v>
      </c>
      <c r="E9">
        <v>293</v>
      </c>
      <c r="F9" t="s">
        <v>14</v>
      </c>
      <c r="G9">
        <v>700</v>
      </c>
      <c r="H9">
        <v>7935749142557</v>
      </c>
      <c r="I9" t="s">
        <v>259</v>
      </c>
      <c r="J9" t="s">
        <v>77</v>
      </c>
      <c r="K9" t="s">
        <v>91</v>
      </c>
      <c r="L9">
        <v>5</v>
      </c>
      <c r="M9" t="str" cm="1">
        <f t="array" ref="M9">_xlfn.IFS(
OR(J9="XS", J9="5x7 in"), "XS",
OR(TRIM(UPPER(J9))="S", J9="Small", J9="8x10 in"), "S",
OR(J9="M", J9="Medium", J9="30x40 cm"), "M",
OR(J9="L", J9="Large", J9="50x70 cm"), "L",
OR(J9="XL", J9="Extra Large", J9="100x200 mm"), "XL",
OR(J9="XXL", J9="12x18 in"), "XXL", TRUE, "Other"
)</f>
        <v>XXL</v>
      </c>
      <c r="N9" t="str" cm="1">
        <f t="array" ref="N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
        <f xml:space="preserve"> products[[#This Row],[Price]] * products[[#This Row],[Stock]]</f>
        <v>205100</v>
      </c>
      <c r="P9" s="8" t="str" cm="1">
        <f t="array" ref="P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 s="10" t="str">
        <f>IF(products[[#This Row],[Stock]] &gt; AVERAGE(G9:G108),"High","Low")</f>
        <v>High</v>
      </c>
      <c r="R9" s="10" t="str">
        <f>IF(products[[#This Row],[Inventory value]]&gt;AVERAGE(O9:O108),"High","Low")</f>
        <v>Low</v>
      </c>
      <c r="S9" s="10">
        <f>IF(products[[#This Row],[Inventory Val. Status]]="High",1,0)</f>
        <v>0</v>
      </c>
      <c r="T9" s="10">
        <f>IF(products[[#This Row],[Price Outliers]]="High Outlier",1,0)</f>
        <v>0</v>
      </c>
      <c r="U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c r="V9" s="5"/>
      <c r="W9" s="5"/>
    </row>
    <row r="10" spans="1:23" x14ac:dyDescent="0.25">
      <c r="A10">
        <v>53</v>
      </c>
      <c r="B10" t="s">
        <v>18</v>
      </c>
      <c r="C10" t="s">
        <v>210</v>
      </c>
      <c r="D10" t="s">
        <v>211</v>
      </c>
      <c r="E10">
        <v>408</v>
      </c>
      <c r="F10" t="s">
        <v>14</v>
      </c>
      <c r="G10">
        <v>922</v>
      </c>
      <c r="H10">
        <v>8183313115592</v>
      </c>
      <c r="I10" t="s">
        <v>212</v>
      </c>
      <c r="J10" t="s">
        <v>56</v>
      </c>
      <c r="K10" t="s">
        <v>96</v>
      </c>
      <c r="L10">
        <v>34</v>
      </c>
      <c r="M10" t="str" cm="1">
        <f t="array" ref="M10">_xlfn.IFS(
OR(J10="XS", J10="5x7 in"), "XS",
OR(TRIM(UPPER(J10))="S", J10="Small", J10="8x10 in"), "S",
OR(J10="M", J10="Medium", J10="30x40 cm"), "M",
OR(J10="L", J10="Large", J10="50x70 cm"), "L",
OR(J10="XL", J10="Extra Large", J10="100x200 mm"), "XL",
OR(J10="XXL", J10="12x18 in"), "XXL", TRUE, "Other"
)</f>
        <v>M</v>
      </c>
      <c r="N10" t="str" cm="1">
        <f t="array" ref="N1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10">
        <f xml:space="preserve"> products[[#This Row],[Price]] * products[[#This Row],[Stock]]</f>
        <v>376176</v>
      </c>
      <c r="P10" s="8" t="str" cm="1">
        <f t="array" ref="P1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10" s="10" t="str">
        <f>IF(products[[#This Row],[Stock]] &gt; AVERAGE(G10:G109),"High","Low")</f>
        <v>High</v>
      </c>
      <c r="R10" s="10" t="str">
        <f>IF(products[[#This Row],[Inventory value]]&gt;AVERAGE(O10:O109),"High","Low")</f>
        <v>High</v>
      </c>
      <c r="S10" s="10">
        <f>IF(products[[#This Row],[Inventory Val. Status]]="High",1,0)</f>
        <v>1</v>
      </c>
      <c r="T10" s="10">
        <f>IF(products[[#This Row],[Price Outliers]]="High Outlier",1,0)</f>
        <v>1</v>
      </c>
      <c r="U1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0.60000000000000009</v>
      </c>
      <c r="V10" s="5"/>
      <c r="W10" s="5"/>
    </row>
    <row r="11" spans="1:23" x14ac:dyDescent="0.25">
      <c r="A11">
        <v>63</v>
      </c>
      <c r="B11" t="s">
        <v>241</v>
      </c>
      <c r="C11" t="s">
        <v>242</v>
      </c>
      <c r="D11" t="s">
        <v>211</v>
      </c>
      <c r="E11">
        <v>124</v>
      </c>
      <c r="F11" t="s">
        <v>14</v>
      </c>
      <c r="G11">
        <v>513</v>
      </c>
      <c r="H11">
        <v>6261793125392</v>
      </c>
      <c r="I11" t="s">
        <v>243</v>
      </c>
      <c r="J11" t="s">
        <v>131</v>
      </c>
      <c r="K11" t="s">
        <v>17</v>
      </c>
      <c r="L11">
        <v>83</v>
      </c>
      <c r="M11" t="str" cm="1">
        <f t="array" ref="M11">_xlfn.IFS(
OR(J11="XS", J11="5x7 in"), "XS",
OR(TRIM(UPPER(J11))="S", J11="Small", J11="8x10 in"), "S",
OR(J11="M", J11="Medium", J11="30x40 cm"), "M",
OR(J11="L", J11="Large", J11="50x70 cm"), "L",
OR(J11="XL", J11="Extra Large", J11="100x200 mm"), "XL",
OR(J11="XXL", J11="12x18 in"), "XXL", TRUE, "Other"
)</f>
        <v>L</v>
      </c>
      <c r="N11" t="str" cm="1">
        <f t="array" ref="N1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11">
        <f xml:space="preserve"> products[[#This Row],[Price]] * products[[#This Row],[Stock]]</f>
        <v>63612</v>
      </c>
      <c r="P11" s="8" t="str" cm="1">
        <f t="array" ref="P1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11" s="10" t="str">
        <f>IF(products[[#This Row],[Stock]] &gt; AVERAGE(G11:G110),"High","Low")</f>
        <v>Low</v>
      </c>
      <c r="R11" s="10" t="str">
        <f>IF(products[[#This Row],[Inventory value]]&gt;AVERAGE(O11:O110),"High","Low")</f>
        <v>Low</v>
      </c>
      <c r="S11" s="10">
        <f>IF(products[[#This Row],[Inventory Val. Status]]="High",1,0)</f>
        <v>0</v>
      </c>
      <c r="T11" s="10">
        <f>IF(products[[#This Row],[Price Outliers]]="High Outlier",1,0)</f>
        <v>0</v>
      </c>
      <c r="U1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c r="V11" s="5"/>
      <c r="W11" s="5"/>
    </row>
    <row r="12" spans="1:23" x14ac:dyDescent="0.25">
      <c r="A12">
        <v>97</v>
      </c>
      <c r="B12" t="s">
        <v>329</v>
      </c>
      <c r="C12" t="s">
        <v>330</v>
      </c>
      <c r="D12" t="s">
        <v>211</v>
      </c>
      <c r="E12">
        <v>289</v>
      </c>
      <c r="F12" t="s">
        <v>14</v>
      </c>
      <c r="G12">
        <v>727</v>
      </c>
      <c r="H12">
        <v>9265397743935</v>
      </c>
      <c r="I12" t="s">
        <v>161</v>
      </c>
      <c r="J12" t="s">
        <v>61</v>
      </c>
      <c r="K12" t="s">
        <v>96</v>
      </c>
      <c r="L12">
        <v>25</v>
      </c>
      <c r="M12" t="str" cm="1">
        <f t="array" ref="M12">_xlfn.IFS(
OR(J12="XS", J12="5x7 in"), "XS",
OR(TRIM(UPPER(J12))="S", J12="Small", J12="8x10 in"), "S",
OR(J12="M", J12="Medium", J12="30x40 cm"), "M",
OR(J12="L", J12="Large", J12="50x70 cm"), "L",
OR(J12="XL", J12="Extra Large", J12="100x200 mm"), "XL",
OR(J12="XXL", J12="12x18 in"), "XXL", TRUE, "Other"
)</f>
        <v>XL</v>
      </c>
      <c r="N12" t="str" cm="1">
        <f t="array" ref="N1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2">
        <f xml:space="preserve"> products[[#This Row],[Price]] * products[[#This Row],[Stock]]</f>
        <v>210103</v>
      </c>
      <c r="P12" s="8" t="str" cm="1">
        <f t="array" ref="P1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2" s="10" t="str">
        <f>IF(products[[#This Row],[Stock]] &gt; AVERAGE(G12:G111),"High","Low")</f>
        <v>High</v>
      </c>
      <c r="R12" s="10" t="str">
        <f>IF(products[[#This Row],[Inventory value]]&gt;AVERAGE(O12:O111),"High","Low")</f>
        <v>Low</v>
      </c>
      <c r="S12" s="10">
        <f>IF(products[[#This Row],[Inventory Val. Status]]="High",1,0)</f>
        <v>0</v>
      </c>
      <c r="T12" s="10">
        <f>IF(products[[#This Row],[Price Outliers]]="High Outlier",1,0)</f>
        <v>0</v>
      </c>
      <c r="U1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c r="V12" s="5"/>
      <c r="W12" s="5"/>
    </row>
    <row r="13" spans="1:23" x14ac:dyDescent="0.25">
      <c r="A13">
        <v>22</v>
      </c>
      <c r="B13" t="s">
        <v>108</v>
      </c>
      <c r="C13" t="s">
        <v>109</v>
      </c>
      <c r="D13" t="s">
        <v>110</v>
      </c>
      <c r="E13">
        <v>677</v>
      </c>
      <c r="F13" t="s">
        <v>14</v>
      </c>
      <c r="G13">
        <v>418</v>
      </c>
      <c r="H13">
        <v>3918763032312</v>
      </c>
      <c r="I13" t="s">
        <v>111</v>
      </c>
      <c r="J13" t="s">
        <v>112</v>
      </c>
      <c r="K13" t="s">
        <v>91</v>
      </c>
      <c r="L13">
        <v>90</v>
      </c>
      <c r="M13" t="str" cm="1">
        <f t="array" ref="M13">_xlfn.IFS(
OR(J13="XS", J13="5x7 in"), "XS",
OR(TRIM(UPPER(J13))="S", J13="Small", J13="8x10 in"), "S",
OR(J13="M", J13="Medium", J13="30x40 cm"), "M",
OR(J13="L", J13="Large", J13="50x70 cm"), "L",
OR(J13="XL", J13="Extra Large", J13="100x200 mm"), "XL",
OR(J13="XXL", J13="12x18 in"), "XXL", TRUE, "Other"
)</f>
        <v>M</v>
      </c>
      <c r="N13" t="str" cm="1">
        <f t="array" ref="N1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3">
        <f xml:space="preserve"> products[[#This Row],[Price]] * products[[#This Row],[Stock]]</f>
        <v>282986</v>
      </c>
      <c r="P13" s="8" t="str" cm="1">
        <f t="array" ref="P1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3" s="10" t="str">
        <f>IF(products[[#This Row],[Stock]] &gt; AVERAGE(G13:G112),"High","Low")</f>
        <v>Low</v>
      </c>
      <c r="R13" s="10" t="str">
        <f>IF(products[[#This Row],[Inventory value]]&gt;AVERAGE(O13:O112),"High","Low")</f>
        <v>High</v>
      </c>
      <c r="S13" s="10">
        <f>IF(products[[#This Row],[Inventory Val. Status]]="High",1,0)</f>
        <v>1</v>
      </c>
      <c r="T13" s="10">
        <f>IF(products[[#This Row],[Price Outliers]]="High Outlier",1,0)</f>
        <v>0</v>
      </c>
      <c r="U1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c r="V13" s="5"/>
      <c r="W13" s="5"/>
    </row>
    <row r="14" spans="1:23" x14ac:dyDescent="0.25">
      <c r="A14">
        <v>100</v>
      </c>
      <c r="B14" t="s">
        <v>336</v>
      </c>
      <c r="C14" t="s">
        <v>337</v>
      </c>
      <c r="D14" t="s">
        <v>110</v>
      </c>
      <c r="E14">
        <v>71</v>
      </c>
      <c r="F14" t="s">
        <v>14</v>
      </c>
      <c r="G14">
        <v>51</v>
      </c>
      <c r="H14">
        <v>8264263605712</v>
      </c>
      <c r="I14" t="s">
        <v>281</v>
      </c>
      <c r="J14" t="s">
        <v>56</v>
      </c>
      <c r="K14" t="s">
        <v>86</v>
      </c>
      <c r="L14">
        <v>3</v>
      </c>
      <c r="M14" t="str" cm="1">
        <f t="array" ref="M14">_xlfn.IFS(
OR(J14="XS", J14="5x7 in"), "XS",
OR(TRIM(UPPER(J14))="S", J14="Small", J14="8x10 in"), "S",
OR(J14="M", J14="Medium", J14="30x40 cm"), "M",
OR(J14="L", J14="Large", J14="50x70 cm"), "L",
OR(J14="XL", J14="Extra Large", J14="100x200 mm"), "XL",
OR(J14="XXL", J14="12x18 in"), "XXL", TRUE, "Other"
)</f>
        <v>M</v>
      </c>
      <c r="N14" t="str" cm="1">
        <f t="array" ref="N1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14">
        <f xml:space="preserve"> products[[#This Row],[Price]] * products[[#This Row],[Stock]]</f>
        <v>3621</v>
      </c>
      <c r="P14" s="8" t="str" cm="1">
        <f t="array" ref="P1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14" s="10" t="str">
        <f>IF(products[[#This Row],[Stock]] &gt; AVERAGE(G14:G113),"High","Low")</f>
        <v>Low</v>
      </c>
      <c r="R14" s="10" t="str">
        <f>IF(products[[#This Row],[Inventory value]]&gt;AVERAGE(O14:O113),"High","Low")</f>
        <v>Low</v>
      </c>
      <c r="S14" s="10">
        <f>IF(products[[#This Row],[Inventory Val. Status]]="High",1,0)</f>
        <v>0</v>
      </c>
      <c r="T14" s="10">
        <f>IF(products[[#This Row],[Price Outliers]]="High Outlier",1,0)</f>
        <v>0</v>
      </c>
      <c r="U1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14" s="5"/>
      <c r="W14" s="5"/>
    </row>
    <row r="15" spans="1:23" x14ac:dyDescent="0.25">
      <c r="A15">
        <v>54</v>
      </c>
      <c r="B15" t="s">
        <v>213</v>
      </c>
      <c r="C15" t="s">
        <v>214</v>
      </c>
      <c r="D15" t="s">
        <v>110</v>
      </c>
      <c r="E15">
        <v>791</v>
      </c>
      <c r="F15" t="s">
        <v>14</v>
      </c>
      <c r="G15">
        <v>827</v>
      </c>
      <c r="H15">
        <v>3057639268476</v>
      </c>
      <c r="I15" t="s">
        <v>215</v>
      </c>
      <c r="J15" t="s">
        <v>131</v>
      </c>
      <c r="K15" t="s">
        <v>23</v>
      </c>
      <c r="L15">
        <v>64</v>
      </c>
      <c r="M15" t="str" cm="1">
        <f t="array" ref="M15">_xlfn.IFS(
OR(J15="XS", J15="5x7 in"), "XS",
OR(TRIM(UPPER(J15))="S", J15="Small", J15="8x10 in"), "S",
OR(J15="M", J15="Medium", J15="30x40 cm"), "M",
OR(J15="L", J15="Large", J15="50x70 cm"), "L",
OR(J15="XL", J15="Extra Large", J15="100x200 mm"), "XL",
OR(J15="XXL", J15="12x18 in"), "XXL", TRUE, "Other"
)</f>
        <v>L</v>
      </c>
      <c r="N15" t="str" cm="1">
        <f t="array" ref="N1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15">
        <f xml:space="preserve"> products[[#This Row],[Price]] * products[[#This Row],[Stock]]</f>
        <v>654157</v>
      </c>
      <c r="P15" s="8" t="str" cm="1">
        <f t="array" ref="P1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5" s="10" t="str">
        <f>IF(products[[#This Row],[Stock]] &gt; AVERAGE(G15:G114),"High","Low")</f>
        <v>High</v>
      </c>
      <c r="R15" s="10" t="str">
        <f>IF(products[[#This Row],[Inventory value]]&gt;AVERAGE(O15:O114),"High","Low")</f>
        <v>High</v>
      </c>
      <c r="S15" s="10">
        <f>IF(products[[#This Row],[Inventory Val. Status]]="High",1,0)</f>
        <v>1</v>
      </c>
      <c r="T15" s="10">
        <f>IF(products[[#This Row],[Price Outliers]]="High Outlier",1,0)</f>
        <v>0</v>
      </c>
      <c r="U1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c r="V15" s="5"/>
      <c r="W15" s="5"/>
    </row>
    <row r="16" spans="1:23" x14ac:dyDescent="0.25">
      <c r="A16">
        <v>78</v>
      </c>
      <c r="B16" t="s">
        <v>284</v>
      </c>
      <c r="C16" t="s">
        <v>285</v>
      </c>
      <c r="D16" t="s">
        <v>110</v>
      </c>
      <c r="E16">
        <v>273</v>
      </c>
      <c r="F16" t="s">
        <v>14</v>
      </c>
      <c r="G16">
        <v>623</v>
      </c>
      <c r="H16">
        <v>168419438521</v>
      </c>
      <c r="I16" t="s">
        <v>286</v>
      </c>
      <c r="J16" t="s">
        <v>48</v>
      </c>
      <c r="K16" t="s">
        <v>23</v>
      </c>
      <c r="L16">
        <v>42</v>
      </c>
      <c r="M16" t="str" cm="1">
        <f t="array" ref="M16">_xlfn.IFS(
OR(J16="XS", J16="5x7 in"), "XS",
OR(TRIM(UPPER(J16))="S", J16="Small", J16="8x10 in"), "S",
OR(J16="M", J16="Medium", J16="30x40 cm"), "M",
OR(J16="L", J16="Large", J16="50x70 cm"), "L",
OR(J16="XL", J16="Extra Large", J16="100x200 mm"), "XL",
OR(J16="XXL", J16="12x18 in"), "XXL", TRUE, "Other"
)</f>
        <v>S</v>
      </c>
      <c r="N16" t="str" cm="1">
        <f t="array" ref="N1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6">
        <f xml:space="preserve"> products[[#This Row],[Price]] * products[[#This Row],[Stock]]</f>
        <v>170079</v>
      </c>
      <c r="P16" s="8" t="str" cm="1">
        <f t="array" ref="P1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6" s="10" t="str">
        <f>IF(products[[#This Row],[Stock]] &gt; AVERAGE(G16:G115),"High","Low")</f>
        <v>High</v>
      </c>
      <c r="R16" s="10" t="str">
        <f>IF(products[[#This Row],[Inventory value]]&gt;AVERAGE(O16:O115),"High","Low")</f>
        <v>Low</v>
      </c>
      <c r="S16" s="10">
        <f>IF(products[[#This Row],[Inventory Val. Status]]="High",1,0)</f>
        <v>0</v>
      </c>
      <c r="T16" s="10">
        <f>IF(products[[#This Row],[Price Outliers]]="High Outlier",1,0)</f>
        <v>0</v>
      </c>
      <c r="U1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16" s="5"/>
      <c r="W16" s="5"/>
    </row>
    <row r="17" spans="1:23" x14ac:dyDescent="0.25">
      <c r="A17">
        <v>84</v>
      </c>
      <c r="B17" t="s">
        <v>300</v>
      </c>
      <c r="C17" t="s">
        <v>301</v>
      </c>
      <c r="D17" t="s">
        <v>13</v>
      </c>
      <c r="E17">
        <v>423</v>
      </c>
      <c r="F17" t="s">
        <v>14</v>
      </c>
      <c r="G17">
        <v>759</v>
      </c>
      <c r="H17">
        <v>1396411470228</v>
      </c>
      <c r="I17" t="s">
        <v>69</v>
      </c>
      <c r="J17" t="s">
        <v>85</v>
      </c>
      <c r="K17" t="s">
        <v>23</v>
      </c>
      <c r="L17">
        <v>81</v>
      </c>
      <c r="M17" t="str" cm="1">
        <f t="array" ref="M17">_xlfn.IFS(
OR(J17="XS", J17="5x7 in"), "XS",
OR(TRIM(UPPER(J17))="S", J17="Small", J17="8x10 in"), "S",
OR(J17="M", J17="Medium", J17="30x40 cm"), "M",
OR(J17="L", J17="Large", J17="50x70 cm"), "L",
OR(J17="XL", J17="Extra Large", J17="100x200 mm"), "XL",
OR(J17="XXL", J17="12x18 in"), "XXL", TRUE, "Other"
)</f>
        <v>XS</v>
      </c>
      <c r="N17" t="str" cm="1">
        <f t="array" ref="N1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7">
        <f xml:space="preserve"> products[[#This Row],[Price]] * products[[#This Row],[Stock]]</f>
        <v>321057</v>
      </c>
      <c r="P17" s="8" t="str" cm="1">
        <f t="array" ref="P1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7" s="10" t="str">
        <f>IF(products[[#This Row],[Stock]] &gt; AVERAGE(G17:G116),"High","Low")</f>
        <v>High</v>
      </c>
      <c r="R17" s="10" t="str">
        <f>IF(products[[#This Row],[Inventory value]]&gt;AVERAGE(O17:O116),"High","Low")</f>
        <v>High</v>
      </c>
      <c r="S17" s="10">
        <f>IF(products[[#This Row],[Inventory Val. Status]]="High",1,0)</f>
        <v>1</v>
      </c>
      <c r="T17" s="10">
        <f>IF(products[[#This Row],[Price Outliers]]="High Outlier",1,0)</f>
        <v>0</v>
      </c>
      <c r="U1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c r="V17" s="5"/>
      <c r="W17" s="5"/>
    </row>
    <row r="18" spans="1:23" x14ac:dyDescent="0.25">
      <c r="A18">
        <v>1</v>
      </c>
      <c r="B18" t="s">
        <v>12</v>
      </c>
      <c r="C18" t="s">
        <v>340</v>
      </c>
      <c r="D18" t="s">
        <v>13</v>
      </c>
      <c r="E18">
        <v>265</v>
      </c>
      <c r="F18" t="s">
        <v>14</v>
      </c>
      <c r="G18">
        <v>774</v>
      </c>
      <c r="H18">
        <v>2091465262179</v>
      </c>
      <c r="I18" t="s">
        <v>15</v>
      </c>
      <c r="J18" t="s">
        <v>339</v>
      </c>
      <c r="K18" t="s">
        <v>17</v>
      </c>
      <c r="L18">
        <v>56</v>
      </c>
      <c r="M18" t="str" cm="1">
        <f t="array" ref="M18">_xlfn.IFS(
OR(J18="XS", J18="5x7 in"), "XS",
OR(TRIM(UPPER(J18))="S", J18="Small", J18="8x10 in"), "S",
OR(J18="M", J18="Medium", J18="30x40 cm"), "M",
OR(J18="L", J18="Large", J18="50x70 cm"), "L",
OR(J18="XL", J18="Extra Large", J18="100x200 mm"), "XL",
OR(J18="XXL", J18="12x18 in"), "XXL", TRUE, "Other"
)</f>
        <v>S</v>
      </c>
      <c r="N18" t="str" cm="1">
        <f t="array" ref="N1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8">
        <f xml:space="preserve"> products[[#This Row],[Price]] * products[[#This Row],[Stock]]</f>
        <v>205110</v>
      </c>
      <c r="P18" s="8" t="str" cm="1">
        <f t="array" ref="P1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18" s="10" t="str">
        <f>IF(products[[#This Row],[Stock]] &gt; AVERAGE(G18:G117),"High","Low")</f>
        <v>High</v>
      </c>
      <c r="R18" s="10" t="str">
        <f>IF(products[[#This Row],[Inventory value]]&gt;AVERAGE(O18:O117),"High","Low")</f>
        <v>Low</v>
      </c>
      <c r="S18" s="10">
        <f>IF(products[[#This Row],[Inventory Val. Status]]="High",1,0)</f>
        <v>0</v>
      </c>
      <c r="T18" s="10">
        <f>IF(products[[#This Row],[Price Outliers]]="High Outlier",1,0)</f>
        <v>0</v>
      </c>
      <c r="U1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c r="V18" s="5"/>
      <c r="W18" s="5"/>
    </row>
    <row r="19" spans="1:23" x14ac:dyDescent="0.25">
      <c r="A19">
        <v>57</v>
      </c>
      <c r="B19" t="s">
        <v>223</v>
      </c>
      <c r="C19" t="s">
        <v>224</v>
      </c>
      <c r="D19" t="s">
        <v>13</v>
      </c>
      <c r="E19">
        <v>514</v>
      </c>
      <c r="F19" t="s">
        <v>14</v>
      </c>
      <c r="G19">
        <v>491</v>
      </c>
      <c r="H19">
        <v>8481605893389</v>
      </c>
      <c r="I19" t="s">
        <v>225</v>
      </c>
      <c r="J19" t="s">
        <v>22</v>
      </c>
      <c r="K19" t="s">
        <v>96</v>
      </c>
      <c r="L19">
        <v>19</v>
      </c>
      <c r="M19" t="str" cm="1">
        <f t="array" ref="M19">_xlfn.IFS(
OR(J19="XS", J19="5x7 in"), "XS",
OR(TRIM(UPPER(J19))="S", J19="Small", J19="8x10 in"), "S",
OR(J19="M", J19="Medium", J19="30x40 cm"), "M",
OR(J19="L", J19="Large", J19="50x70 cm"), "L",
OR(J19="XL", J19="Extra Large", J19="100x200 mm"), "XL",
OR(J19="XXL", J19="12x18 in"), "XXL", TRUE, "Other"
)</f>
        <v>S</v>
      </c>
      <c r="N19" t="str" cm="1">
        <f t="array" ref="N1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9">
        <f xml:space="preserve"> products[[#This Row],[Price]] * products[[#This Row],[Stock]]</f>
        <v>252374</v>
      </c>
      <c r="P19" s="8" t="str" cm="1">
        <f t="array" ref="P1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19" s="10" t="str">
        <f>IF(products[[#This Row],[Stock]] &gt; AVERAGE(G19:G118),"High","Low")</f>
        <v>Low</v>
      </c>
      <c r="R19" s="10" t="str">
        <f>IF(products[[#This Row],[Inventory value]]&gt;AVERAGE(O19:O118),"High","Low")</f>
        <v>High</v>
      </c>
      <c r="S19" s="10">
        <f>IF(products[[#This Row],[Inventory Val. Status]]="High",1,0)</f>
        <v>1</v>
      </c>
      <c r="T19" s="10">
        <f>IF(products[[#This Row],[Price Outliers]]="High Outlier",1,0)</f>
        <v>1</v>
      </c>
      <c r="U1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0.8</v>
      </c>
      <c r="V19" s="5"/>
      <c r="W19" s="5"/>
    </row>
    <row r="20" spans="1:23" x14ac:dyDescent="0.25">
      <c r="A20">
        <v>82</v>
      </c>
      <c r="B20" t="s">
        <v>295</v>
      </c>
      <c r="C20" t="s">
        <v>296</v>
      </c>
      <c r="D20" t="s">
        <v>13</v>
      </c>
      <c r="E20">
        <v>352</v>
      </c>
      <c r="F20" t="s">
        <v>14</v>
      </c>
      <c r="G20">
        <v>123</v>
      </c>
      <c r="H20">
        <v>9437200314292</v>
      </c>
      <c r="I20" t="s">
        <v>297</v>
      </c>
      <c r="J20" t="s">
        <v>56</v>
      </c>
      <c r="K20" t="s">
        <v>96</v>
      </c>
      <c r="L20">
        <v>12</v>
      </c>
      <c r="M20" t="str" cm="1">
        <f t="array" ref="M20">_xlfn.IFS(
OR(J20="XS", J20="5x7 in"), "XS",
OR(TRIM(UPPER(J20))="S", J20="Small", J20="8x10 in"), "S",
OR(J20="M", J20="Medium", J20="30x40 cm"), "M",
OR(J20="L", J20="Large", J20="50x70 cm"), "L",
OR(J20="XL", J20="Extra Large", J20="100x200 mm"), "XL",
OR(J20="XXL", J20="12x18 in"), "XXL", TRUE, "Other"
)</f>
        <v>M</v>
      </c>
      <c r="N20" t="str" cm="1">
        <f t="array" ref="N2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20">
        <f xml:space="preserve"> products[[#This Row],[Price]] * products[[#This Row],[Stock]]</f>
        <v>43296</v>
      </c>
      <c r="P20" s="8" t="str" cm="1">
        <f t="array" ref="P2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0" s="10" t="str">
        <f>IF(products[[#This Row],[Stock]] &gt; AVERAGE(G20:G119),"High","Low")</f>
        <v>Low</v>
      </c>
      <c r="R20" s="10" t="str">
        <f>IF(products[[#This Row],[Inventory value]]&gt;AVERAGE(O20:O119),"High","Low")</f>
        <v>Low</v>
      </c>
      <c r="S20" s="10">
        <f>IF(products[[#This Row],[Inventory Val. Status]]="High",1,0)</f>
        <v>0</v>
      </c>
      <c r="T20" s="10">
        <f>IF(products[[#This Row],[Price Outliers]]="High Outlier",1,0)</f>
        <v>0</v>
      </c>
      <c r="U2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c r="V20" s="5"/>
      <c r="W20" s="5"/>
    </row>
    <row r="21" spans="1:23" x14ac:dyDescent="0.25">
      <c r="A21">
        <v>92</v>
      </c>
      <c r="B21" t="s">
        <v>317</v>
      </c>
      <c r="C21" t="s">
        <v>318</v>
      </c>
      <c r="D21" t="s">
        <v>218</v>
      </c>
      <c r="E21">
        <v>519</v>
      </c>
      <c r="F21" t="s">
        <v>14</v>
      </c>
      <c r="G21">
        <v>495</v>
      </c>
      <c r="H21">
        <v>4564280934296</v>
      </c>
      <c r="I21" t="s">
        <v>319</v>
      </c>
      <c r="J21" t="s">
        <v>16</v>
      </c>
      <c r="K21" t="s">
        <v>23</v>
      </c>
      <c r="L21">
        <v>36</v>
      </c>
      <c r="M21" t="str" cm="1">
        <f t="array" ref="M21">_xlfn.IFS(
OR(J21="XS", J21="5x7 in"), "XS",
OR(TRIM(UPPER(J21))="S", J21="Small", J21="8x10 in"), "S",
OR(J21="M", J21="Medium", J21="30x40 cm"), "M",
OR(J21="L", J21="Large", J21="50x70 cm"), "L",
OR(J21="XL", J21="Extra Large", J21="100x200 mm"), "XL",
OR(J21="XXL", J21="12x18 in"), "XXL", TRUE, "Other"
)</f>
        <v>L</v>
      </c>
      <c r="N21" t="str" cm="1">
        <f t="array" ref="N2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21">
        <f xml:space="preserve"> products[[#This Row],[Price]] * products[[#This Row],[Stock]]</f>
        <v>256905</v>
      </c>
      <c r="P21" s="8" t="str" cm="1">
        <f t="array" ref="P2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1" s="10" t="str">
        <f>IF(products[[#This Row],[Stock]] &gt; AVERAGE(G21:G120),"High","Low")</f>
        <v>Low</v>
      </c>
      <c r="R21" s="10" t="str">
        <f>IF(products[[#This Row],[Inventory value]]&gt;AVERAGE(O21:O120),"High","Low")</f>
        <v>High</v>
      </c>
      <c r="S21" s="10">
        <f>IF(products[[#This Row],[Inventory Val. Status]]="High",1,0)</f>
        <v>1</v>
      </c>
      <c r="T21" s="10">
        <f>IF(products[[#This Row],[Price Outliers]]="High Outlier",1,0)</f>
        <v>0</v>
      </c>
      <c r="U2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1" s="5"/>
      <c r="W21" s="5"/>
    </row>
    <row r="22" spans="1:23" x14ac:dyDescent="0.25">
      <c r="A22">
        <v>55</v>
      </c>
      <c r="B22" t="s">
        <v>216</v>
      </c>
      <c r="C22" t="s">
        <v>217</v>
      </c>
      <c r="D22" t="s">
        <v>218</v>
      </c>
      <c r="E22">
        <v>370</v>
      </c>
      <c r="F22" t="s">
        <v>14</v>
      </c>
      <c r="G22">
        <v>601</v>
      </c>
      <c r="H22">
        <v>1974896712011</v>
      </c>
      <c r="I22" t="s">
        <v>219</v>
      </c>
      <c r="J22" t="s">
        <v>32</v>
      </c>
      <c r="K22" t="s">
        <v>96</v>
      </c>
      <c r="L22">
        <v>46</v>
      </c>
      <c r="M22" t="str" cm="1">
        <f t="array" ref="M22">_xlfn.IFS(
OR(J22="XS", J22="5x7 in"), "XS",
OR(TRIM(UPPER(J22))="S", J22="Small", J22="8x10 in"), "S",
OR(J22="M", J22="Medium", J22="30x40 cm"), "M",
OR(J22="L", J22="Large", J22="50x70 cm"), "L",
OR(J22="XL", J22="Extra Large", J22="100x200 mm"), "XL",
OR(J22="XXL", J22="12x18 in"), "XXL", TRUE, "Other"
)</f>
        <v>L</v>
      </c>
      <c r="N22" t="str" cm="1">
        <f t="array" ref="N2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22">
        <f xml:space="preserve"> products[[#This Row],[Price]] * products[[#This Row],[Stock]]</f>
        <v>222370</v>
      </c>
      <c r="P22" s="8" t="str" cm="1">
        <f t="array" ref="P2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2" s="10" t="str">
        <f>IF(products[[#This Row],[Stock]] &gt; AVERAGE(G22:G121),"High","Low")</f>
        <v>High</v>
      </c>
      <c r="R22" s="10" t="str">
        <f>IF(products[[#This Row],[Inventory value]]&gt;AVERAGE(O22:O121),"High","Low")</f>
        <v>Low</v>
      </c>
      <c r="S22" s="10">
        <f>IF(products[[#This Row],[Inventory Val. Status]]="High",1,0)</f>
        <v>0</v>
      </c>
      <c r="T22" s="10">
        <f>IF(products[[#This Row],[Price Outliers]]="High Outlier",1,0)</f>
        <v>0</v>
      </c>
      <c r="U2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c r="V22" s="5"/>
      <c r="W22" s="5"/>
    </row>
    <row r="23" spans="1:23" x14ac:dyDescent="0.25">
      <c r="A23">
        <v>85</v>
      </c>
      <c r="B23" t="s">
        <v>302</v>
      </c>
      <c r="C23" t="s">
        <v>303</v>
      </c>
      <c r="D23" t="s">
        <v>195</v>
      </c>
      <c r="E23">
        <v>998</v>
      </c>
      <c r="F23" t="s">
        <v>14</v>
      </c>
      <c r="G23">
        <v>10</v>
      </c>
      <c r="H23">
        <v>3163238295239</v>
      </c>
      <c r="I23" t="s">
        <v>99</v>
      </c>
      <c r="J23" t="s">
        <v>131</v>
      </c>
      <c r="K23" t="s">
        <v>86</v>
      </c>
      <c r="L23">
        <v>64</v>
      </c>
      <c r="M23" t="str" cm="1">
        <f t="array" ref="M23">_xlfn.IFS(
OR(J23="XS", J23="5x7 in"), "XS",
OR(TRIM(UPPER(J23))="S", J23="Small", J23="8x10 in"), "S",
OR(J23="M", J23="Medium", J23="30x40 cm"), "M",
OR(J23="L", J23="Large", J23="50x70 cm"), "L",
OR(J23="XL", J23="Extra Large", J23="100x200 mm"), "XL",
OR(J23="XXL", J23="12x18 in"), "XXL", TRUE, "Other"
)</f>
        <v>L</v>
      </c>
      <c r="N23" t="str" cm="1">
        <f t="array" ref="N2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23">
        <f xml:space="preserve"> products[[#This Row],[Price]] * products[[#This Row],[Stock]]</f>
        <v>9980</v>
      </c>
      <c r="P23" s="8" t="str" cm="1">
        <f t="array" ref="P2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23" s="10" t="str">
        <f>IF(products[[#This Row],[Stock]] &gt; AVERAGE(G23:G122),"High","Low")</f>
        <v>Low</v>
      </c>
      <c r="R23" s="10" t="str">
        <f>IF(products[[#This Row],[Inventory value]]&gt;AVERAGE(O23:O122),"High","Low")</f>
        <v>Low</v>
      </c>
      <c r="S23" s="10">
        <f>IF(products[[#This Row],[Inventory Val. Status]]="High",1,0)</f>
        <v>0</v>
      </c>
      <c r="T23" s="10">
        <f>IF(products[[#This Row],[Price Outliers]]="High Outlier",1,0)</f>
        <v>1</v>
      </c>
      <c r="U2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c r="V23" s="5"/>
      <c r="W23" s="5"/>
    </row>
    <row r="24" spans="1:23" x14ac:dyDescent="0.25">
      <c r="A24">
        <v>99</v>
      </c>
      <c r="B24" t="s">
        <v>334</v>
      </c>
      <c r="C24" t="s">
        <v>335</v>
      </c>
      <c r="D24" t="s">
        <v>195</v>
      </c>
      <c r="E24">
        <v>241</v>
      </c>
      <c r="F24" t="s">
        <v>14</v>
      </c>
      <c r="G24">
        <v>391</v>
      </c>
      <c r="H24">
        <v>3893594435450</v>
      </c>
      <c r="I24" t="s">
        <v>326</v>
      </c>
      <c r="J24" t="s">
        <v>85</v>
      </c>
      <c r="K24" t="s">
        <v>86</v>
      </c>
      <c r="L24">
        <v>5</v>
      </c>
      <c r="M24" t="str" cm="1">
        <f t="array" ref="M24">_xlfn.IFS(
OR(J24="XS", J24="5x7 in"), "XS",
OR(TRIM(UPPER(J24))="S", J24="Small", J24="8x10 in"), "S",
OR(J24="M", J24="Medium", J24="30x40 cm"), "M",
OR(J24="L", J24="Large", J24="50x70 cm"), "L",
OR(J24="XL", J24="Extra Large", J24="100x200 mm"), "XL",
OR(J24="XXL", J24="12x18 in"), "XXL", TRUE, "Other"
)</f>
        <v>XS</v>
      </c>
      <c r="N24" t="str" cm="1">
        <f t="array" ref="N2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24">
        <f xml:space="preserve"> products[[#This Row],[Price]] * products[[#This Row],[Stock]]</f>
        <v>94231</v>
      </c>
      <c r="P24" s="8" t="str" cm="1">
        <f t="array" ref="P2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4" s="10" t="str">
        <f>IF(products[[#This Row],[Stock]] &gt; AVERAGE(G24:G123),"High","Low")</f>
        <v>Low</v>
      </c>
      <c r="R24" s="10" t="str">
        <f>IF(products[[#This Row],[Inventory value]]&gt;AVERAGE(O24:O123),"High","Low")</f>
        <v>Low</v>
      </c>
      <c r="S24" s="10">
        <f>IF(products[[#This Row],[Inventory Val. Status]]="High",1,0)</f>
        <v>0</v>
      </c>
      <c r="T24" s="10">
        <f>IF(products[[#This Row],[Price Outliers]]="High Outlier",1,0)</f>
        <v>0</v>
      </c>
      <c r="U2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4" s="5"/>
      <c r="W24" s="5"/>
    </row>
    <row r="25" spans="1:23" x14ac:dyDescent="0.25">
      <c r="A25">
        <v>47</v>
      </c>
      <c r="B25" t="s">
        <v>193</v>
      </c>
      <c r="C25" t="s">
        <v>194</v>
      </c>
      <c r="D25" t="s">
        <v>195</v>
      </c>
      <c r="E25">
        <v>599</v>
      </c>
      <c r="F25" t="s">
        <v>14</v>
      </c>
      <c r="G25">
        <v>263</v>
      </c>
      <c r="H25">
        <v>6854117854742</v>
      </c>
      <c r="I25" t="s">
        <v>171</v>
      </c>
      <c r="J25" t="s">
        <v>16</v>
      </c>
      <c r="K25" t="s">
        <v>33</v>
      </c>
      <c r="L25">
        <v>17</v>
      </c>
      <c r="M25" t="str" cm="1">
        <f t="array" ref="M25">_xlfn.IFS(
OR(J25="XS", J25="5x7 in"), "XS",
OR(TRIM(UPPER(J25))="S", J25="Small", J25="8x10 in"), "S",
OR(J25="M", J25="Medium", J25="30x40 cm"), "M",
OR(J25="L", J25="Large", J25="50x70 cm"), "L",
OR(J25="XL", J25="Extra Large", J25="100x200 mm"), "XL",
OR(J25="XXL", J25="12x18 in"), "XXL", TRUE, "Other"
)</f>
        <v>L</v>
      </c>
      <c r="N25" t="str" cm="1">
        <f t="array" ref="N2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25">
        <f xml:space="preserve"> products[[#This Row],[Price]] * products[[#This Row],[Stock]]</f>
        <v>157537</v>
      </c>
      <c r="P25" s="8" t="str" cm="1">
        <f t="array" ref="P2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5" s="10" t="str">
        <f>IF(products[[#This Row],[Stock]] &gt; AVERAGE(G25:G124),"High","Low")</f>
        <v>Low</v>
      </c>
      <c r="R25" s="10" t="str">
        <f>IF(products[[#This Row],[Inventory value]]&gt;AVERAGE(O25:O124),"High","Low")</f>
        <v>Low</v>
      </c>
      <c r="S25" s="10">
        <f>IF(products[[#This Row],[Inventory Val. Status]]="High",1,0)</f>
        <v>0</v>
      </c>
      <c r="T25" s="10">
        <f>IF(products[[#This Row],[Price Outliers]]="High Outlier",1,0)</f>
        <v>0</v>
      </c>
      <c r="U2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5" s="5"/>
      <c r="W25" s="5"/>
    </row>
    <row r="26" spans="1:23" x14ac:dyDescent="0.25">
      <c r="A26">
        <v>19</v>
      </c>
      <c r="B26" t="s">
        <v>97</v>
      </c>
      <c r="C26" t="s">
        <v>98</v>
      </c>
      <c r="D26" t="s">
        <v>68</v>
      </c>
      <c r="E26">
        <v>340</v>
      </c>
      <c r="F26" t="s">
        <v>14</v>
      </c>
      <c r="G26">
        <v>618</v>
      </c>
      <c r="H26">
        <v>6340907128242</v>
      </c>
      <c r="I26" t="s">
        <v>99</v>
      </c>
      <c r="J26" t="s">
        <v>48</v>
      </c>
      <c r="K26" t="s">
        <v>86</v>
      </c>
      <c r="L26">
        <v>21</v>
      </c>
      <c r="M26" t="str" cm="1">
        <f t="array" ref="M26">_xlfn.IFS(
OR(J26="XS", J26="5x7 in"), "XS",
OR(TRIM(UPPER(J26))="S", J26="Small", J26="8x10 in"), "S",
OR(J26="M", J26="Medium", J26="30x40 cm"), "M",
OR(J26="L", J26="Large", J26="50x70 cm"), "L",
OR(J26="XL", J26="Extra Large", J26="100x200 mm"), "XL",
OR(J26="XXL", J26="12x18 in"), "XXL", TRUE, "Other"
)</f>
        <v>S</v>
      </c>
      <c r="N26" t="str" cm="1">
        <f t="array" ref="N2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26">
        <f xml:space="preserve"> products[[#This Row],[Price]] * products[[#This Row],[Stock]]</f>
        <v>210120</v>
      </c>
      <c r="P26" s="8" t="str" cm="1">
        <f t="array" ref="P2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6" s="10" t="str">
        <f>IF(products[[#This Row],[Stock]] &gt; AVERAGE(G26:G125),"High","Low")</f>
        <v>High</v>
      </c>
      <c r="R26" s="10" t="str">
        <f>IF(products[[#This Row],[Inventory value]]&gt;AVERAGE(O26:O125),"High","Low")</f>
        <v>Low</v>
      </c>
      <c r="S26" s="10">
        <f>IF(products[[#This Row],[Inventory Val. Status]]="High",1,0)</f>
        <v>0</v>
      </c>
      <c r="T26" s="10">
        <f>IF(products[[#This Row],[Price Outliers]]="High Outlier",1,0)</f>
        <v>0</v>
      </c>
      <c r="U2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6" s="5"/>
      <c r="W26" s="5"/>
    </row>
    <row r="27" spans="1:23" x14ac:dyDescent="0.25">
      <c r="A27">
        <v>98</v>
      </c>
      <c r="B27" t="s">
        <v>331</v>
      </c>
      <c r="C27" t="s">
        <v>332</v>
      </c>
      <c r="D27" t="s">
        <v>68</v>
      </c>
      <c r="E27">
        <v>232</v>
      </c>
      <c r="F27" t="s">
        <v>14</v>
      </c>
      <c r="G27">
        <v>998</v>
      </c>
      <c r="H27">
        <v>5505866454530</v>
      </c>
      <c r="I27" t="s">
        <v>333</v>
      </c>
      <c r="J27" t="s">
        <v>172</v>
      </c>
      <c r="K27" t="s">
        <v>86</v>
      </c>
      <c r="L27">
        <v>20</v>
      </c>
      <c r="M27" t="str" cm="1">
        <f t="array" ref="M27">_xlfn.IFS(
OR(J27="XS", J27="5x7 in"), "XS",
OR(TRIM(UPPER(J27))="S", J27="Small", J27="8x10 in"), "S",
OR(J27="M", J27="Medium", J27="30x40 cm"), "M",
OR(J27="L", J27="Large", J27="50x70 cm"), "L",
OR(J27="XL", J27="Extra Large", J27="100x200 mm"), "XL",
OR(J27="XXL", J27="12x18 in"), "XXL", TRUE, "Other"
)</f>
        <v>S</v>
      </c>
      <c r="N27" t="str" cm="1">
        <f t="array" ref="N2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27">
        <f xml:space="preserve"> products[[#This Row],[Price]] * products[[#This Row],[Stock]]</f>
        <v>231536</v>
      </c>
      <c r="P27" s="8" t="str" cm="1">
        <f t="array" ref="P2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7" s="10" t="str">
        <f>IF(products[[#This Row],[Stock]] &gt; AVERAGE(G27:G126),"High","Low")</f>
        <v>High</v>
      </c>
      <c r="R27" s="10" t="str">
        <f>IF(products[[#This Row],[Inventory value]]&gt;AVERAGE(O27:O126),"High","Low")</f>
        <v>Low</v>
      </c>
      <c r="S27" s="10">
        <f>IF(products[[#This Row],[Inventory Val. Status]]="High",1,0)</f>
        <v>0</v>
      </c>
      <c r="T27" s="10">
        <f>IF(products[[#This Row],[Price Outliers]]="High Outlier",1,0)</f>
        <v>0</v>
      </c>
      <c r="U2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7" s="5"/>
      <c r="W27" s="5"/>
    </row>
    <row r="28" spans="1:23" x14ac:dyDescent="0.25">
      <c r="A28">
        <v>12</v>
      </c>
      <c r="B28" t="s">
        <v>66</v>
      </c>
      <c r="C28" t="s">
        <v>67</v>
      </c>
      <c r="D28" t="s">
        <v>68</v>
      </c>
      <c r="E28">
        <v>221</v>
      </c>
      <c r="F28" t="s">
        <v>14</v>
      </c>
      <c r="G28">
        <v>672</v>
      </c>
      <c r="H28">
        <v>8567222480604</v>
      </c>
      <c r="I28" t="s">
        <v>69</v>
      </c>
      <c r="J28" t="s">
        <v>56</v>
      </c>
      <c r="K28" t="s">
        <v>17</v>
      </c>
      <c r="L28">
        <v>32</v>
      </c>
      <c r="M28" t="str" cm="1">
        <f t="array" ref="M28">_xlfn.IFS(
OR(J28="XS", J28="5x7 in"), "XS",
OR(TRIM(UPPER(J28))="S", J28="Small", J28="8x10 in"), "S",
OR(J28="M", J28="Medium", J28="30x40 cm"), "M",
OR(J28="L", J28="Large", J28="50x70 cm"), "L",
OR(J28="XL", J28="Extra Large", J28="100x200 mm"), "XL",
OR(J28="XXL", J28="12x18 in"), "XXL", TRUE, "Other"
)</f>
        <v>M</v>
      </c>
      <c r="N28" t="str" cm="1">
        <f t="array" ref="N2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28">
        <f xml:space="preserve"> products[[#This Row],[Price]] * products[[#This Row],[Stock]]</f>
        <v>148512</v>
      </c>
      <c r="P28" s="8" t="str" cm="1">
        <f t="array" ref="P2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8" s="10" t="str">
        <f>IF(products[[#This Row],[Stock]] &gt; AVERAGE(G28:G127),"High","Low")</f>
        <v>High</v>
      </c>
      <c r="R28" s="10" t="str">
        <f>IF(products[[#This Row],[Inventory value]]&gt;AVERAGE(O28:O127),"High","Low")</f>
        <v>Low</v>
      </c>
      <c r="S28" s="10">
        <f>IF(products[[#This Row],[Inventory Val. Status]]="High",1,0)</f>
        <v>0</v>
      </c>
      <c r="T28" s="10">
        <f>IF(products[[#This Row],[Price Outliers]]="High Outlier",1,0)</f>
        <v>0</v>
      </c>
      <c r="U2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8" s="5"/>
      <c r="W28" s="5"/>
    </row>
    <row r="29" spans="1:23" x14ac:dyDescent="0.25">
      <c r="A29">
        <v>15</v>
      </c>
      <c r="B29" t="s">
        <v>78</v>
      </c>
      <c r="C29" t="s">
        <v>79</v>
      </c>
      <c r="D29" t="s">
        <v>68</v>
      </c>
      <c r="E29">
        <v>101</v>
      </c>
      <c r="F29" t="s">
        <v>14</v>
      </c>
      <c r="G29">
        <v>159</v>
      </c>
      <c r="H29">
        <v>1438856474369</v>
      </c>
      <c r="I29" t="s">
        <v>80</v>
      </c>
      <c r="J29" t="s">
        <v>43</v>
      </c>
      <c r="K29" t="s">
        <v>17</v>
      </c>
      <c r="L29">
        <v>88</v>
      </c>
      <c r="M29" t="str" cm="1">
        <f t="array" ref="M29">_xlfn.IFS(
OR(J29="XS", J29="5x7 in"), "XS",
OR(TRIM(UPPER(J29))="S", J29="Small", J29="8x10 in"), "S",
OR(J29="M", J29="Medium", J29="30x40 cm"), "M",
OR(J29="L", J29="Large", J29="50x70 cm"), "L",
OR(J29="XL", J29="Extra Large", J29="100x200 mm"), "XL",
OR(J29="XXL", J29="12x18 in"), "XXL", TRUE, "Other"
)</f>
        <v>M</v>
      </c>
      <c r="N29" t="str" cm="1">
        <f t="array" ref="N2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29">
        <f xml:space="preserve"> products[[#This Row],[Price]] * products[[#This Row],[Stock]]</f>
        <v>16059</v>
      </c>
      <c r="P29" s="8" t="str" cm="1">
        <f t="array" ref="P2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29" s="10" t="str">
        <f>IF(products[[#This Row],[Stock]] &gt; AVERAGE(G29:G128),"High","Low")</f>
        <v>Low</v>
      </c>
      <c r="R29" s="10" t="str">
        <f>IF(products[[#This Row],[Inventory value]]&gt;AVERAGE(O29:O128),"High","Low")</f>
        <v>Low</v>
      </c>
      <c r="S29" s="10">
        <f>IF(products[[#This Row],[Inventory Val. Status]]="High",1,0)</f>
        <v>0</v>
      </c>
      <c r="T29" s="10">
        <f>IF(products[[#This Row],[Price Outliers]]="High Outlier",1,0)</f>
        <v>0</v>
      </c>
      <c r="U2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c r="V29" s="5"/>
      <c r="W29" s="5"/>
    </row>
    <row r="30" spans="1:23" x14ac:dyDescent="0.25">
      <c r="A30">
        <v>62</v>
      </c>
      <c r="B30" t="s">
        <v>239</v>
      </c>
      <c r="C30" t="s">
        <v>240</v>
      </c>
      <c r="D30" t="s">
        <v>68</v>
      </c>
      <c r="E30">
        <v>982</v>
      </c>
      <c r="F30" t="s">
        <v>14</v>
      </c>
      <c r="G30">
        <v>804</v>
      </c>
      <c r="H30">
        <v>3388615003133</v>
      </c>
      <c r="I30" t="s">
        <v>219</v>
      </c>
      <c r="J30" t="s">
        <v>38</v>
      </c>
      <c r="K30" t="s">
        <v>96</v>
      </c>
      <c r="L30">
        <v>70</v>
      </c>
      <c r="M30" t="str" cm="1">
        <f t="array" ref="M30">_xlfn.IFS(
OR(J30="XS", J30="5x7 in"), "XS",
OR(TRIM(UPPER(J30))="S", J30="Small", J30="8x10 in"), "S",
OR(J30="M", J30="Medium", J30="30x40 cm"), "M",
OR(J30="L", J30="Large", J30="50x70 cm"), "L",
OR(J30="XL", J30="Extra Large", J30="100x200 mm"), "XL",
OR(J30="XXL", J30="12x18 in"), "XXL", TRUE, "Other"
)</f>
        <v>XL</v>
      </c>
      <c r="N30" t="str" cm="1">
        <f t="array" ref="N3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30">
        <f xml:space="preserve"> products[[#This Row],[Price]] * products[[#This Row],[Stock]]</f>
        <v>789528</v>
      </c>
      <c r="P30" s="8" t="str" cm="1">
        <f t="array" ref="P3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30" s="10" t="str">
        <f>IF(products[[#This Row],[Stock]] &gt; AVERAGE(G30:G129),"High","Low")</f>
        <v>High</v>
      </c>
      <c r="R30" s="10" t="str">
        <f>IF(products[[#This Row],[Inventory value]]&gt;AVERAGE(O30:O129),"High","Low")</f>
        <v>High</v>
      </c>
      <c r="S30" s="10">
        <f>IF(products[[#This Row],[Inventory Val. Status]]="High",1,0)</f>
        <v>1</v>
      </c>
      <c r="T30" s="10">
        <f>IF(products[[#This Row],[Price Outliers]]="High Outlier",1,0)</f>
        <v>1</v>
      </c>
      <c r="U3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1</v>
      </c>
      <c r="V30" s="5"/>
      <c r="W30" s="5"/>
    </row>
    <row r="31" spans="1:23" x14ac:dyDescent="0.25">
      <c r="A31">
        <v>94</v>
      </c>
      <c r="B31" t="s">
        <v>322</v>
      </c>
      <c r="C31" t="s">
        <v>323</v>
      </c>
      <c r="D31" t="s">
        <v>68</v>
      </c>
      <c r="E31">
        <v>472</v>
      </c>
      <c r="F31" t="s">
        <v>14</v>
      </c>
      <c r="G31">
        <v>63</v>
      </c>
      <c r="H31">
        <v>7794860625802</v>
      </c>
      <c r="I31" t="s">
        <v>15</v>
      </c>
      <c r="J31" t="s">
        <v>179</v>
      </c>
      <c r="K31" t="s">
        <v>96</v>
      </c>
      <c r="L31">
        <v>8</v>
      </c>
      <c r="M31" t="str" cm="1">
        <f t="array" ref="M31">_xlfn.IFS(
OR(J31="XS", J31="5x7 in"), "XS",
OR(TRIM(UPPER(J31))="S", J31="Small", J31="8x10 in"), "S",
OR(J31="M", J31="Medium", J31="30x40 cm"), "M",
OR(J31="L", J31="Large", J31="50x70 cm"), "L",
OR(J31="XL", J31="Extra Large", J31="100x200 mm"), "XL",
OR(J31="XXL", J31="12x18 in"), "XXL", TRUE, "Other"
)</f>
        <v>XXL</v>
      </c>
      <c r="N31" t="str" cm="1">
        <f t="array" ref="N3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31">
        <f xml:space="preserve"> products[[#This Row],[Price]] * products[[#This Row],[Stock]]</f>
        <v>29736</v>
      </c>
      <c r="P31" s="8" t="str" cm="1">
        <f t="array" ref="P3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31" s="10" t="str">
        <f>IF(products[[#This Row],[Stock]] &gt; AVERAGE(G31:G130),"High","Low")</f>
        <v>Low</v>
      </c>
      <c r="R31" s="10" t="str">
        <f>IF(products[[#This Row],[Inventory value]]&gt;AVERAGE(O31:O130),"High","Low")</f>
        <v>Low</v>
      </c>
      <c r="S31" s="10">
        <f>IF(products[[#This Row],[Inventory Val. Status]]="High",1,0)</f>
        <v>0</v>
      </c>
      <c r="T31" s="10">
        <f>IF(products[[#This Row],[Price Outliers]]="High Outlier",1,0)</f>
        <v>0</v>
      </c>
      <c r="U3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32" spans="1:23" x14ac:dyDescent="0.25">
      <c r="A32">
        <v>28</v>
      </c>
      <c r="B32" t="s">
        <v>127</v>
      </c>
      <c r="C32" t="s">
        <v>128</v>
      </c>
      <c r="D32" t="s">
        <v>129</v>
      </c>
      <c r="E32">
        <v>858</v>
      </c>
      <c r="F32" t="s">
        <v>14</v>
      </c>
      <c r="G32">
        <v>912</v>
      </c>
      <c r="H32">
        <v>7097613907430</v>
      </c>
      <c r="I32" t="s">
        <v>130</v>
      </c>
      <c r="J32" t="s">
        <v>131</v>
      </c>
      <c r="K32" t="s">
        <v>86</v>
      </c>
      <c r="L32">
        <v>43</v>
      </c>
      <c r="M32" t="str" cm="1">
        <f t="array" ref="M32">_xlfn.IFS(
OR(J32="XS", J32="5x7 in"), "XS",
OR(TRIM(UPPER(J32))="S", J32="Small", J32="8x10 in"), "S",
OR(J32="M", J32="Medium", J32="30x40 cm"), "M",
OR(J32="L", J32="Large", J32="50x70 cm"), "L",
OR(J32="XL", J32="Extra Large", J32="100x200 mm"), "XL",
OR(J32="XXL", J32="12x18 in"), "XXL", TRUE, "Other"
)</f>
        <v>L</v>
      </c>
      <c r="N32" t="str" cm="1">
        <f t="array" ref="N3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NULL</v>
      </c>
      <c r="O32">
        <f xml:space="preserve"> products[[#This Row],[Price]] * products[[#This Row],[Stock]]</f>
        <v>782496</v>
      </c>
      <c r="P32" s="8" t="str" cm="1">
        <f t="array" ref="P3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NULL</v>
      </c>
      <c r="Q32" s="10" t="str">
        <f>IF(products[[#This Row],[Stock]] &gt; AVERAGE(G32:G131),"High","Low")</f>
        <v>High</v>
      </c>
      <c r="R32" s="10" t="str">
        <f>IF(products[[#This Row],[Inventory value]]&gt;AVERAGE(O32:O131),"High","Low")</f>
        <v>High</v>
      </c>
      <c r="S32" s="10">
        <f>IF(products[[#This Row],[Inventory Val. Status]]="High",1,0)</f>
        <v>1</v>
      </c>
      <c r="T32" s="10">
        <f>IF(products[[#This Row],[Price Outliers]]="High Outlier",1,0)</f>
        <v>0</v>
      </c>
      <c r="U3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row>
    <row r="33" spans="1:21" x14ac:dyDescent="0.25">
      <c r="A33">
        <v>26</v>
      </c>
      <c r="B33" t="s">
        <v>121</v>
      </c>
      <c r="C33" t="s">
        <v>122</v>
      </c>
      <c r="D33" t="s">
        <v>72</v>
      </c>
      <c r="E33">
        <v>909</v>
      </c>
      <c r="F33" t="s">
        <v>14</v>
      </c>
      <c r="G33">
        <v>797</v>
      </c>
      <c r="H33">
        <v>9496081864722</v>
      </c>
      <c r="I33" t="s">
        <v>123</v>
      </c>
      <c r="J33" t="s">
        <v>77</v>
      </c>
      <c r="K33" t="s">
        <v>86</v>
      </c>
      <c r="L33">
        <v>93</v>
      </c>
      <c r="M33" t="str" cm="1">
        <f t="array" ref="M33">_xlfn.IFS(
OR(J33="XS", J33="5x7 in"), "XS",
OR(TRIM(UPPER(J33))="S", J33="Small", J33="8x10 in"), "S",
OR(J33="M", J33="Medium", J33="30x40 cm"), "M",
OR(J33="L", J33="Large", J33="50x70 cm"), "L",
OR(J33="XL", J33="Extra Large", J33="100x200 mm"), "XL",
OR(J33="XXL", J33="12x18 in"), "XXL", TRUE, "Other"
)</f>
        <v>XXL</v>
      </c>
      <c r="N33" t="str" cm="1">
        <f t="array" ref="N3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33">
        <f xml:space="preserve"> products[[#This Row],[Price]] * products[[#This Row],[Stock]]</f>
        <v>724473</v>
      </c>
      <c r="P33" s="8" t="str" cm="1">
        <f t="array" ref="P3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33" s="10" t="str">
        <f>IF(products[[#This Row],[Stock]] &gt; AVERAGE(G33:G132),"High","Low")</f>
        <v>High</v>
      </c>
      <c r="R33" s="10" t="str">
        <f>IF(products[[#This Row],[Inventory value]]&gt;AVERAGE(O33:O132),"High","Low")</f>
        <v>High</v>
      </c>
      <c r="S33" s="10">
        <f>IF(products[[#This Row],[Inventory Val. Status]]="High",1,0)</f>
        <v>1</v>
      </c>
      <c r="T33" s="10">
        <f>IF(products[[#This Row],[Price Outliers]]="High Outlier",1,0)</f>
        <v>0</v>
      </c>
      <c r="U3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34" spans="1:21" x14ac:dyDescent="0.25">
      <c r="A34">
        <v>76</v>
      </c>
      <c r="B34" t="s">
        <v>279</v>
      </c>
      <c r="C34" t="s">
        <v>280</v>
      </c>
      <c r="D34" t="s">
        <v>72</v>
      </c>
      <c r="E34">
        <v>800</v>
      </c>
      <c r="F34" t="s">
        <v>14</v>
      </c>
      <c r="G34">
        <v>151</v>
      </c>
      <c r="H34">
        <v>1340784358003</v>
      </c>
      <c r="I34" t="s">
        <v>281</v>
      </c>
      <c r="J34" t="s">
        <v>77</v>
      </c>
      <c r="K34" t="s">
        <v>23</v>
      </c>
      <c r="L34">
        <v>66</v>
      </c>
      <c r="M34" t="str" cm="1">
        <f t="array" ref="M34">_xlfn.IFS(
OR(J34="XS", J34="5x7 in"), "XS",
OR(TRIM(UPPER(J34))="S", J34="Small", J34="8x10 in"), "S",
OR(J34="M", J34="Medium", J34="30x40 cm"), "M",
OR(J34="L", J34="Large", J34="50x70 cm"), "L",
OR(J34="XL", J34="Extra Large", J34="100x200 mm"), "XL",
OR(J34="XXL", J34="12x18 in"), "XXL", TRUE, "Other"
)</f>
        <v>XXL</v>
      </c>
      <c r="N34" t="str" cm="1">
        <f t="array" ref="N3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34">
        <f xml:space="preserve"> products[[#This Row],[Price]] * products[[#This Row],[Stock]]</f>
        <v>120800</v>
      </c>
      <c r="P34" s="8" t="str" cm="1">
        <f t="array" ref="P3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34" s="10" t="str">
        <f>IF(products[[#This Row],[Stock]] &gt; AVERAGE(G34:G133),"High","Low")</f>
        <v>Low</v>
      </c>
      <c r="R34" s="10" t="str">
        <f>IF(products[[#This Row],[Inventory value]]&gt;AVERAGE(O34:O133),"High","Low")</f>
        <v>Low</v>
      </c>
      <c r="S34" s="10">
        <f>IF(products[[#This Row],[Inventory Val. Status]]="High",1,0)</f>
        <v>0</v>
      </c>
      <c r="T34" s="10">
        <f>IF(products[[#This Row],[Price Outliers]]="High Outlier",1,0)</f>
        <v>0</v>
      </c>
      <c r="U3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35" spans="1:21" x14ac:dyDescent="0.25">
      <c r="A35">
        <v>13</v>
      </c>
      <c r="B35" t="s">
        <v>70</v>
      </c>
      <c r="C35" t="s">
        <v>71</v>
      </c>
      <c r="D35" t="s">
        <v>72</v>
      </c>
      <c r="E35">
        <v>689</v>
      </c>
      <c r="F35" t="s">
        <v>14</v>
      </c>
      <c r="G35">
        <v>156</v>
      </c>
      <c r="H35">
        <v>5686660235911</v>
      </c>
      <c r="I35" t="s">
        <v>73</v>
      </c>
      <c r="J35" t="s">
        <v>32</v>
      </c>
      <c r="K35" t="s">
        <v>17</v>
      </c>
      <c r="L35">
        <v>57</v>
      </c>
      <c r="M35" t="str" cm="1">
        <f t="array" ref="M35">_xlfn.IFS(
OR(J35="XS", J35="5x7 in"), "XS",
OR(TRIM(UPPER(J35))="S", J35="Small", J35="8x10 in"), "S",
OR(J35="M", J35="Medium", J35="30x40 cm"), "M",
OR(J35="L", J35="Large", J35="50x70 cm"), "L",
OR(J35="XL", J35="Extra Large", J35="100x200 mm"), "XL",
OR(J35="XXL", J35="12x18 in"), "XXL", TRUE, "Other"
)</f>
        <v>L</v>
      </c>
      <c r="N35" t="str" cm="1">
        <f t="array" ref="N3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35">
        <f xml:space="preserve"> products[[#This Row],[Price]] * products[[#This Row],[Stock]]</f>
        <v>107484</v>
      </c>
      <c r="P35" s="8" t="str" cm="1">
        <f t="array" ref="P3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35" s="10" t="str">
        <f>IF(products[[#This Row],[Stock]] &gt; AVERAGE(G35:G134),"High","Low")</f>
        <v>Low</v>
      </c>
      <c r="R35" s="10" t="str">
        <f>IF(products[[#This Row],[Inventory value]]&gt;AVERAGE(O35:O134),"High","Low")</f>
        <v>Low</v>
      </c>
      <c r="S35" s="10">
        <f>IF(products[[#This Row],[Inventory Val. Status]]="High",1,0)</f>
        <v>0</v>
      </c>
      <c r="T35" s="10">
        <f>IF(products[[#This Row],[Price Outliers]]="High Outlier",1,0)</f>
        <v>0</v>
      </c>
      <c r="U3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36" spans="1:21" x14ac:dyDescent="0.25">
      <c r="A36">
        <v>41</v>
      </c>
      <c r="B36" t="s">
        <v>173</v>
      </c>
      <c r="C36" t="s">
        <v>174</v>
      </c>
      <c r="D36" t="s">
        <v>175</v>
      </c>
      <c r="E36">
        <v>100</v>
      </c>
      <c r="F36" t="s">
        <v>14</v>
      </c>
      <c r="G36">
        <v>802</v>
      </c>
      <c r="H36">
        <v>938364240247</v>
      </c>
      <c r="I36" t="s">
        <v>123</v>
      </c>
      <c r="J36" t="s">
        <v>112</v>
      </c>
      <c r="K36" t="s">
        <v>86</v>
      </c>
      <c r="L36">
        <v>12</v>
      </c>
      <c r="M36" t="str" cm="1">
        <f t="array" ref="M36">_xlfn.IFS(
OR(J36="XS", J36="5x7 in"), "XS",
OR(TRIM(UPPER(J36))="S", J36="Small", J36="8x10 in"), "S",
OR(J36="M", J36="Medium", J36="30x40 cm"), "M",
OR(J36="L", J36="Large", J36="50x70 cm"), "L",
OR(J36="XL", J36="Extra Large", J36="100x200 mm"), "XL",
OR(J36="XXL", J36="12x18 in"), "XXL", TRUE, "Other"
)</f>
        <v>M</v>
      </c>
      <c r="N36" t="str" cm="1">
        <f t="array" ref="N3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NULL</v>
      </c>
      <c r="O36">
        <f xml:space="preserve"> products[[#This Row],[Price]] * products[[#This Row],[Stock]]</f>
        <v>80200</v>
      </c>
      <c r="P36" s="8" t="str" cm="1">
        <f t="array" ref="P3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NULL</v>
      </c>
      <c r="Q36" s="10" t="str">
        <f>IF(products[[#This Row],[Stock]] &gt; AVERAGE(G36:G135),"High","Low")</f>
        <v>High</v>
      </c>
      <c r="R36" s="10" t="str">
        <f>IF(products[[#This Row],[Inventory value]]&gt;AVERAGE(O36:O135),"High","Low")</f>
        <v>Low</v>
      </c>
      <c r="S36" s="10">
        <f>IF(products[[#This Row],[Inventory Val. Status]]="High",1,0)</f>
        <v>0</v>
      </c>
      <c r="T36" s="10">
        <f>IF(products[[#This Row],[Price Outliers]]="High Outlier",1,0)</f>
        <v>0</v>
      </c>
      <c r="U3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37" spans="1:21" x14ac:dyDescent="0.25">
      <c r="A37">
        <v>45</v>
      </c>
      <c r="B37" t="s">
        <v>187</v>
      </c>
      <c r="C37" t="s">
        <v>188</v>
      </c>
      <c r="D37" t="s">
        <v>59</v>
      </c>
      <c r="E37">
        <v>488</v>
      </c>
      <c r="F37" t="s">
        <v>14</v>
      </c>
      <c r="G37">
        <v>966</v>
      </c>
      <c r="H37">
        <v>9005775281402</v>
      </c>
      <c r="I37" t="s">
        <v>189</v>
      </c>
      <c r="J37" t="s">
        <v>95</v>
      </c>
      <c r="K37" t="s">
        <v>91</v>
      </c>
      <c r="L37">
        <v>62</v>
      </c>
      <c r="M37" t="str" cm="1">
        <f t="array" ref="M37">_xlfn.IFS(
OR(J37="XS", J37="5x7 in"), "XS",
OR(TRIM(UPPER(J37))="S", J37="Small", J37="8x10 in"), "S",
OR(J37="M", J37="Medium", J37="30x40 cm"), "M",
OR(J37="L", J37="Large", J37="50x70 cm"), "L",
OR(J37="XL", J37="Extra Large", J37="100x200 mm"), "XL",
OR(J37="XXL", J37="12x18 in"), "XXL", TRUE, "Other"
)</f>
        <v>Other</v>
      </c>
      <c r="N37" t="str" cm="1">
        <f t="array" ref="N3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37">
        <f xml:space="preserve"> products[[#This Row],[Price]] * products[[#This Row],[Stock]]</f>
        <v>471408</v>
      </c>
      <c r="P37" s="8" t="str" cm="1">
        <f t="array" ref="P3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37" s="10" t="str">
        <f>IF(products[[#This Row],[Stock]] &gt; AVERAGE(G37:G136),"High","Low")</f>
        <v>High</v>
      </c>
      <c r="R37" s="10" t="str">
        <f>IF(products[[#This Row],[Inventory value]]&gt;AVERAGE(O37:O136),"High","Low")</f>
        <v>High</v>
      </c>
      <c r="S37" s="10">
        <f>IF(products[[#This Row],[Inventory Val. Status]]="High",1,0)</f>
        <v>1</v>
      </c>
      <c r="T37" s="10">
        <f>IF(products[[#This Row],[Price Outliers]]="High Outlier",1,0)</f>
        <v>0</v>
      </c>
      <c r="U3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38" spans="1:21" x14ac:dyDescent="0.25">
      <c r="A38">
        <v>51</v>
      </c>
      <c r="B38" t="s">
        <v>205</v>
      </c>
      <c r="C38" t="s">
        <v>206</v>
      </c>
      <c r="D38" t="s">
        <v>59</v>
      </c>
      <c r="E38">
        <v>777</v>
      </c>
      <c r="F38" t="s">
        <v>14</v>
      </c>
      <c r="G38">
        <v>832</v>
      </c>
      <c r="H38">
        <v>4894233116968</v>
      </c>
      <c r="I38" t="s">
        <v>207</v>
      </c>
      <c r="J38" t="s">
        <v>61</v>
      </c>
      <c r="K38" t="s">
        <v>23</v>
      </c>
      <c r="L38">
        <v>16</v>
      </c>
      <c r="M38" t="str" cm="1">
        <f t="array" ref="M38">_xlfn.IFS(
OR(J38="XS", J38="5x7 in"), "XS",
OR(TRIM(UPPER(J38))="S", J38="Small", J38="8x10 in"), "S",
OR(J38="M", J38="Medium", J38="30x40 cm"), "M",
OR(J38="L", J38="Large", J38="50x70 cm"), "L",
OR(J38="XL", J38="Extra Large", J38="100x200 mm"), "XL",
OR(J38="XXL", J38="12x18 in"), "XXL", TRUE, "Other"
)</f>
        <v>XL</v>
      </c>
      <c r="N38" t="str" cm="1">
        <f t="array" ref="N3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38">
        <f xml:space="preserve"> products[[#This Row],[Price]] * products[[#This Row],[Stock]]</f>
        <v>646464</v>
      </c>
      <c r="P38" s="8" t="str" cm="1">
        <f t="array" ref="P3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38" s="10" t="str">
        <f>IF(products[[#This Row],[Stock]] &gt; AVERAGE(G38:G137),"High","Low")</f>
        <v>High</v>
      </c>
      <c r="R38" s="10" t="str">
        <f>IF(products[[#This Row],[Inventory value]]&gt;AVERAGE(O38:O137),"High","Low")</f>
        <v>High</v>
      </c>
      <c r="S38" s="10">
        <f>IF(products[[#This Row],[Inventory Val. Status]]="High",1,0)</f>
        <v>1</v>
      </c>
      <c r="T38" s="10">
        <f>IF(products[[#This Row],[Price Outliers]]="High Outlier",1,0)</f>
        <v>0</v>
      </c>
      <c r="U3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39" spans="1:21" x14ac:dyDescent="0.25">
      <c r="A39">
        <v>10</v>
      </c>
      <c r="B39" t="s">
        <v>57</v>
      </c>
      <c r="C39" t="s">
        <v>58</v>
      </c>
      <c r="D39" t="s">
        <v>59</v>
      </c>
      <c r="E39">
        <v>845</v>
      </c>
      <c r="F39" t="s">
        <v>14</v>
      </c>
      <c r="G39">
        <v>564</v>
      </c>
      <c r="H39">
        <v>4877111475333</v>
      </c>
      <c r="I39" t="s">
        <v>60</v>
      </c>
      <c r="J39" t="s">
        <v>61</v>
      </c>
      <c r="K39" t="s">
        <v>33</v>
      </c>
      <c r="L39">
        <v>88</v>
      </c>
      <c r="M39" t="str" cm="1">
        <f t="array" ref="M39">_xlfn.IFS(
OR(J39="XS", J39="5x7 in"), "XS",
OR(TRIM(UPPER(J39))="S", J39="Small", J39="8x10 in"), "S",
OR(J39="M", J39="Medium", J39="30x40 cm"), "M",
OR(J39="L", J39="Large", J39="50x70 cm"), "L",
OR(J39="XL", J39="Extra Large", J39="100x200 mm"), "XL",
OR(J39="XXL", J39="12x18 in"), "XXL", TRUE, "Other"
)</f>
        <v>XL</v>
      </c>
      <c r="N39" t="str" cm="1">
        <f t="array" ref="N3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39">
        <f xml:space="preserve"> products[[#This Row],[Price]] * products[[#This Row],[Stock]]</f>
        <v>476580</v>
      </c>
      <c r="P39" s="8" t="str" cm="1">
        <f t="array" ref="P3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39" s="10" t="str">
        <f>IF(products[[#This Row],[Stock]] &gt; AVERAGE(G39:G138),"High","Low")</f>
        <v>High</v>
      </c>
      <c r="R39" s="10" t="str">
        <f>IF(products[[#This Row],[Inventory value]]&gt;AVERAGE(O39:O138),"High","Low")</f>
        <v>High</v>
      </c>
      <c r="S39" s="10">
        <f>IF(products[[#This Row],[Inventory Val. Status]]="High",1,0)</f>
        <v>1</v>
      </c>
      <c r="T39" s="10">
        <f>IF(products[[#This Row],[Price Outliers]]="High Outlier",1,0)</f>
        <v>0</v>
      </c>
      <c r="U3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0" spans="1:21" x14ac:dyDescent="0.25">
      <c r="A40">
        <v>52</v>
      </c>
      <c r="B40" t="s">
        <v>208</v>
      </c>
      <c r="C40" t="s">
        <v>209</v>
      </c>
      <c r="D40" t="s">
        <v>145</v>
      </c>
      <c r="E40">
        <v>820</v>
      </c>
      <c r="F40" t="s">
        <v>14</v>
      </c>
      <c r="G40">
        <v>535</v>
      </c>
      <c r="H40">
        <v>8183922928019</v>
      </c>
      <c r="I40" t="s">
        <v>99</v>
      </c>
      <c r="J40" t="s">
        <v>38</v>
      </c>
      <c r="K40" t="s">
        <v>23</v>
      </c>
      <c r="L40">
        <v>19</v>
      </c>
      <c r="M40" t="str" cm="1">
        <f t="array" ref="M40">_xlfn.IFS(
OR(J40="XS", J40="5x7 in"), "XS",
OR(TRIM(UPPER(J40))="S", J40="Small", J40="8x10 in"), "S",
OR(J40="M", J40="Medium", J40="30x40 cm"), "M",
OR(J40="L", J40="Large", J40="50x70 cm"), "L",
OR(J40="XL", J40="Extra Large", J40="100x200 mm"), "XL",
OR(J40="XXL", J40="12x18 in"), "XXL", TRUE, "Other"
)</f>
        <v>XL</v>
      </c>
      <c r="N40" t="str" cm="1">
        <f t="array" ref="N4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0">
        <f xml:space="preserve"> products[[#This Row],[Price]] * products[[#This Row],[Stock]]</f>
        <v>438700</v>
      </c>
      <c r="P40" s="8" t="str" cm="1">
        <f t="array" ref="P4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40" s="10" t="str">
        <f>IF(products[[#This Row],[Stock]] &gt; AVERAGE(G40:G139),"High","Low")</f>
        <v>Low</v>
      </c>
      <c r="R40" s="10" t="str">
        <f>IF(products[[#This Row],[Inventory value]]&gt;AVERAGE(O40:O139),"High","Low")</f>
        <v>High</v>
      </c>
      <c r="S40" s="10">
        <f>IF(products[[#This Row],[Inventory Val. Status]]="High",1,0)</f>
        <v>1</v>
      </c>
      <c r="T40" s="10">
        <f>IF(products[[#This Row],[Price Outliers]]="High Outlier",1,0)</f>
        <v>1</v>
      </c>
      <c r="U4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0.60000000000000009</v>
      </c>
    </row>
    <row r="41" spans="1:21" x14ac:dyDescent="0.25">
      <c r="A41">
        <v>32</v>
      </c>
      <c r="B41" t="s">
        <v>143</v>
      </c>
      <c r="C41" t="s">
        <v>144</v>
      </c>
      <c r="D41" t="s">
        <v>145</v>
      </c>
      <c r="E41">
        <v>283</v>
      </c>
      <c r="F41" t="s">
        <v>14</v>
      </c>
      <c r="G41">
        <v>343</v>
      </c>
      <c r="H41">
        <v>9921752342730</v>
      </c>
      <c r="I41" t="s">
        <v>146</v>
      </c>
      <c r="J41" t="s">
        <v>48</v>
      </c>
      <c r="K41" t="s">
        <v>17</v>
      </c>
      <c r="L41">
        <v>84</v>
      </c>
      <c r="M41" t="str" cm="1">
        <f t="array" ref="M41">_xlfn.IFS(
OR(J41="XS", J41="5x7 in"), "XS",
OR(TRIM(UPPER(J41))="S", J41="Small", J41="8x10 in"), "S",
OR(J41="M", J41="Medium", J41="30x40 cm"), "M",
OR(J41="L", J41="Large", J41="50x70 cm"), "L",
OR(J41="XL", J41="Extra Large", J41="100x200 mm"), "XL",
OR(J41="XXL", J41="12x18 in"), "XXL", TRUE, "Other"
)</f>
        <v>S</v>
      </c>
      <c r="N41" t="str" cm="1">
        <f t="array" ref="N4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41">
        <f xml:space="preserve"> products[[#This Row],[Price]] * products[[#This Row],[Stock]]</f>
        <v>97069</v>
      </c>
      <c r="P41" s="8" t="str" cm="1">
        <f t="array" ref="P4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1" s="10" t="str">
        <f>IF(products[[#This Row],[Stock]] &gt; AVERAGE(G41:G140),"High","Low")</f>
        <v>Low</v>
      </c>
      <c r="R41" s="10" t="str">
        <f>IF(products[[#This Row],[Inventory value]]&gt;AVERAGE(O41:O140),"High","Low")</f>
        <v>Low</v>
      </c>
      <c r="S41" s="10">
        <f>IF(products[[#This Row],[Inventory Val. Status]]="High",1,0)</f>
        <v>0</v>
      </c>
      <c r="T41" s="10">
        <f>IF(products[[#This Row],[Price Outliers]]="High Outlier",1,0)</f>
        <v>0</v>
      </c>
      <c r="U4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row>
    <row r="42" spans="1:21" x14ac:dyDescent="0.25">
      <c r="A42">
        <v>50</v>
      </c>
      <c r="B42" t="s">
        <v>202</v>
      </c>
      <c r="C42" t="s">
        <v>203</v>
      </c>
      <c r="D42" t="s">
        <v>145</v>
      </c>
      <c r="E42">
        <v>214</v>
      </c>
      <c r="F42" t="s">
        <v>14</v>
      </c>
      <c r="G42">
        <v>574</v>
      </c>
      <c r="H42">
        <v>3625664059934</v>
      </c>
      <c r="I42" t="s">
        <v>204</v>
      </c>
      <c r="J42" t="s">
        <v>77</v>
      </c>
      <c r="K42" t="s">
        <v>17</v>
      </c>
      <c r="L42">
        <v>33</v>
      </c>
      <c r="M42" t="str" cm="1">
        <f t="array" ref="M42">_xlfn.IFS(
OR(J42="XS", J42="5x7 in"), "XS",
OR(TRIM(UPPER(J42))="S", J42="Small", J42="8x10 in"), "S",
OR(J42="M", J42="Medium", J42="30x40 cm"), "M",
OR(J42="L", J42="Large", J42="50x70 cm"), "L",
OR(J42="XL", J42="Extra Large", J42="100x200 mm"), "XL",
OR(J42="XXL", J42="12x18 in"), "XXL", TRUE, "Other"
)</f>
        <v>XXL</v>
      </c>
      <c r="N42" t="str" cm="1">
        <f t="array" ref="N4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2">
        <f xml:space="preserve"> products[[#This Row],[Price]] * products[[#This Row],[Stock]]</f>
        <v>122836</v>
      </c>
      <c r="P42" s="8" t="str" cm="1">
        <f t="array" ref="P4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2" s="10" t="str">
        <f>IF(products[[#This Row],[Stock]] &gt; AVERAGE(G42:G141),"High","Low")</f>
        <v>High</v>
      </c>
      <c r="R42" s="10" t="str">
        <f>IF(products[[#This Row],[Inventory value]]&gt;AVERAGE(O42:O141),"High","Low")</f>
        <v>Low</v>
      </c>
      <c r="S42" s="10">
        <f>IF(products[[#This Row],[Inventory Val. Status]]="High",1,0)</f>
        <v>0</v>
      </c>
      <c r="T42" s="10">
        <f>IF(products[[#This Row],[Price Outliers]]="High Outlier",1,0)</f>
        <v>0</v>
      </c>
      <c r="U4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row>
    <row r="43" spans="1:21" x14ac:dyDescent="0.25">
      <c r="A43">
        <v>87</v>
      </c>
      <c r="B43" t="s">
        <v>306</v>
      </c>
      <c r="C43" t="s">
        <v>307</v>
      </c>
      <c r="D43" t="s">
        <v>145</v>
      </c>
      <c r="E43">
        <v>593</v>
      </c>
      <c r="F43" t="s">
        <v>14</v>
      </c>
      <c r="G43">
        <v>580</v>
      </c>
      <c r="H43">
        <v>1710131812265</v>
      </c>
      <c r="I43" t="s">
        <v>308</v>
      </c>
      <c r="J43" t="s">
        <v>77</v>
      </c>
      <c r="K43" t="s">
        <v>33</v>
      </c>
      <c r="L43">
        <v>20</v>
      </c>
      <c r="M43" t="str" cm="1">
        <f t="array" ref="M43">_xlfn.IFS(
OR(J43="XS", J43="5x7 in"), "XS",
OR(TRIM(UPPER(J43))="S", J43="Small", J43="8x10 in"), "S",
OR(J43="M", J43="Medium", J43="30x40 cm"), "M",
OR(J43="L", J43="Large", J43="50x70 cm"), "L",
OR(J43="XL", J43="Extra Large", J43="100x200 mm"), "XL",
OR(J43="XXL", J43="12x18 in"), "XXL", TRUE, "Other"
)</f>
        <v>XXL</v>
      </c>
      <c r="N43" t="str" cm="1">
        <f t="array" ref="N4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3">
        <f xml:space="preserve"> products[[#This Row],[Price]] * products[[#This Row],[Stock]]</f>
        <v>343940</v>
      </c>
      <c r="P43" s="8" t="str" cm="1">
        <f t="array" ref="P4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3" s="10" t="str">
        <f>IF(products[[#This Row],[Stock]] &gt; AVERAGE(G43:G142),"High","Low")</f>
        <v>High</v>
      </c>
      <c r="R43" s="10" t="str">
        <f>IF(products[[#This Row],[Inventory value]]&gt;AVERAGE(O43:O142),"High","Low")</f>
        <v>High</v>
      </c>
      <c r="S43" s="10">
        <f>IF(products[[#This Row],[Inventory Val. Status]]="High",1,0)</f>
        <v>1</v>
      </c>
      <c r="T43" s="10">
        <f>IF(products[[#This Row],[Price Outliers]]="High Outlier",1,0)</f>
        <v>0</v>
      </c>
      <c r="U4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4" spans="1:21" x14ac:dyDescent="0.25">
      <c r="A44">
        <v>29</v>
      </c>
      <c r="B44" t="s">
        <v>132</v>
      </c>
      <c r="C44" t="s">
        <v>133</v>
      </c>
      <c r="D44" t="s">
        <v>134</v>
      </c>
      <c r="E44">
        <v>985</v>
      </c>
      <c r="F44" t="s">
        <v>14</v>
      </c>
      <c r="G44">
        <v>180</v>
      </c>
      <c r="H44">
        <v>8301096575048</v>
      </c>
      <c r="I44" t="s">
        <v>135</v>
      </c>
      <c r="J44" t="s">
        <v>61</v>
      </c>
      <c r="K44" t="s">
        <v>23</v>
      </c>
      <c r="L44">
        <v>40</v>
      </c>
      <c r="M44" t="str" cm="1">
        <f t="array" ref="M44">_xlfn.IFS(
OR(J44="XS", J44="5x7 in"), "XS",
OR(TRIM(UPPER(J44))="S", J44="Small", J44="8x10 in"), "S",
OR(J44="M", J44="Medium", J44="30x40 cm"), "M",
OR(J44="L", J44="Large", J44="50x70 cm"), "L",
OR(J44="XL", J44="Extra Large", J44="100x200 mm"), "XL",
OR(J44="XXL", J44="12x18 in"), "XXL", TRUE, "Other"
)</f>
        <v>XL</v>
      </c>
      <c r="N44" t="str" cm="1">
        <f t="array" ref="N4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4">
        <f xml:space="preserve"> products[[#This Row],[Price]] * products[[#This Row],[Stock]]</f>
        <v>177300</v>
      </c>
      <c r="P44" s="8" t="str" cm="1">
        <f t="array" ref="P4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4" s="10" t="str">
        <f>IF(products[[#This Row],[Stock]] &gt; AVERAGE(G44:G143),"High","Low")</f>
        <v>Low</v>
      </c>
      <c r="R44" s="10" t="str">
        <f>IF(products[[#This Row],[Inventory value]]&gt;AVERAGE(O44:O143),"High","Low")</f>
        <v>Low</v>
      </c>
      <c r="S44" s="10">
        <f>IF(products[[#This Row],[Inventory Val. Status]]="High",1,0)</f>
        <v>0</v>
      </c>
      <c r="T44" s="10">
        <f>IF(products[[#This Row],[Price Outliers]]="High Outlier",1,0)</f>
        <v>0</v>
      </c>
      <c r="U4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5" spans="1:21" x14ac:dyDescent="0.25">
      <c r="A45">
        <v>93</v>
      </c>
      <c r="B45" t="s">
        <v>320</v>
      </c>
      <c r="C45" t="s">
        <v>321</v>
      </c>
      <c r="D45" t="s">
        <v>134</v>
      </c>
      <c r="E45">
        <v>393</v>
      </c>
      <c r="F45" t="s">
        <v>14</v>
      </c>
      <c r="G45">
        <v>499</v>
      </c>
      <c r="H45">
        <v>1861389468671</v>
      </c>
      <c r="I45" t="s">
        <v>21</v>
      </c>
      <c r="J45" t="s">
        <v>172</v>
      </c>
      <c r="K45" t="s">
        <v>23</v>
      </c>
      <c r="L45">
        <v>80</v>
      </c>
      <c r="M45" t="str" cm="1">
        <f t="array" ref="M45">_xlfn.IFS(
OR(J45="XS", J45="5x7 in"), "XS",
OR(TRIM(UPPER(J45))="S", J45="Small", J45="8x10 in"), "S",
OR(J45="M", J45="Medium", J45="30x40 cm"), "M",
OR(J45="L", J45="Large", J45="50x70 cm"), "L",
OR(J45="XL", J45="Extra Large", J45="100x200 mm"), "XL",
OR(J45="XXL", J45="12x18 in"), "XXL", TRUE, "Other"
)</f>
        <v>S</v>
      </c>
      <c r="N45" t="str" cm="1">
        <f t="array" ref="N4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5">
        <f xml:space="preserve"> products[[#This Row],[Price]] * products[[#This Row],[Stock]]</f>
        <v>196107</v>
      </c>
      <c r="P45" s="8" t="str" cm="1">
        <f t="array" ref="P4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5" s="10" t="str">
        <f>IF(products[[#This Row],[Stock]] &gt; AVERAGE(G45:G144),"High","Low")</f>
        <v>Low</v>
      </c>
      <c r="R45" s="10" t="str">
        <f>IF(products[[#This Row],[Inventory value]]&gt;AVERAGE(O45:O144),"High","Low")</f>
        <v>Low</v>
      </c>
      <c r="S45" s="10">
        <f>IF(products[[#This Row],[Inventory Val. Status]]="High",1,0)</f>
        <v>0</v>
      </c>
      <c r="T45" s="10">
        <f>IF(products[[#This Row],[Price Outliers]]="High Outlier",1,0)</f>
        <v>0</v>
      </c>
      <c r="U4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6" spans="1:21" x14ac:dyDescent="0.25">
      <c r="A46">
        <v>60</v>
      </c>
      <c r="B46" t="s">
        <v>233</v>
      </c>
      <c r="C46" t="s">
        <v>234</v>
      </c>
      <c r="D46" t="s">
        <v>118</v>
      </c>
      <c r="E46">
        <v>621</v>
      </c>
      <c r="F46" t="s">
        <v>14</v>
      </c>
      <c r="G46">
        <v>667</v>
      </c>
      <c r="H46">
        <v>6744198567221</v>
      </c>
      <c r="I46" t="s">
        <v>235</v>
      </c>
      <c r="J46" t="s">
        <v>85</v>
      </c>
      <c r="K46" t="s">
        <v>23</v>
      </c>
      <c r="L46">
        <v>61</v>
      </c>
      <c r="M46" t="str" cm="1">
        <f t="array" ref="M46">_xlfn.IFS(
OR(J46="XS", J46="5x7 in"), "XS",
OR(TRIM(UPPER(J46))="S", J46="Small", J46="8x10 in"), "S",
OR(J46="M", J46="Medium", J46="30x40 cm"), "M",
OR(J46="L", J46="Large", J46="50x70 cm"), "L",
OR(J46="XL", J46="Extra Large", J46="100x200 mm"), "XL",
OR(J46="XXL", J46="12x18 in"), "XXL", TRUE, "Other"
)</f>
        <v>XS</v>
      </c>
      <c r="N46" t="str" cm="1">
        <f t="array" ref="N4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6">
        <f xml:space="preserve"> products[[#This Row],[Price]] * products[[#This Row],[Stock]]</f>
        <v>414207</v>
      </c>
      <c r="P46" s="8" t="str" cm="1">
        <f t="array" ref="P4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6" s="10" t="str">
        <f>IF(products[[#This Row],[Stock]] &gt; AVERAGE(G46:G145),"High","Low")</f>
        <v>High</v>
      </c>
      <c r="R46" s="10" t="str">
        <f>IF(products[[#This Row],[Inventory value]]&gt;AVERAGE(O46:O145),"High","Low")</f>
        <v>High</v>
      </c>
      <c r="S46" s="10">
        <f>IF(products[[#This Row],[Inventory Val. Status]]="High",1,0)</f>
        <v>1</v>
      </c>
      <c r="T46" s="10">
        <f>IF(products[[#This Row],[Price Outliers]]="High Outlier",1,0)</f>
        <v>0</v>
      </c>
      <c r="U4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7" spans="1:21" x14ac:dyDescent="0.25">
      <c r="A47">
        <v>24</v>
      </c>
      <c r="B47" t="s">
        <v>116</v>
      </c>
      <c r="C47" t="s">
        <v>117</v>
      </c>
      <c r="D47" t="s">
        <v>118</v>
      </c>
      <c r="E47">
        <v>784</v>
      </c>
      <c r="F47" t="s">
        <v>14</v>
      </c>
      <c r="G47">
        <v>510</v>
      </c>
      <c r="H47">
        <v>9839666739792</v>
      </c>
      <c r="I47" t="s">
        <v>55</v>
      </c>
      <c r="J47" t="s">
        <v>32</v>
      </c>
      <c r="K47" t="s">
        <v>96</v>
      </c>
      <c r="L47">
        <v>55</v>
      </c>
      <c r="M47" t="str" cm="1">
        <f t="array" ref="M47">_xlfn.IFS(
OR(J47="XS", J47="5x7 in"), "XS",
OR(TRIM(UPPER(J47))="S", J47="Small", J47="8x10 in"), "S",
OR(J47="M", J47="Medium", J47="30x40 cm"), "M",
OR(J47="L", J47="Large", J47="50x70 cm"), "L",
OR(J47="XL", J47="Extra Large", J47="100x200 mm"), "XL",
OR(J47="XXL", J47="12x18 in"), "XXL", TRUE, "Other"
)</f>
        <v>L</v>
      </c>
      <c r="N47" t="str" cm="1">
        <f t="array" ref="N4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7">
        <f xml:space="preserve"> products[[#This Row],[Price]] * products[[#This Row],[Stock]]</f>
        <v>399840</v>
      </c>
      <c r="P47" s="8" t="str" cm="1">
        <f t="array" ref="P4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7" s="10" t="str">
        <f>IF(products[[#This Row],[Stock]] &gt; AVERAGE(G47:G146),"High","Low")</f>
        <v>Low</v>
      </c>
      <c r="R47" s="10" t="str">
        <f>IF(products[[#This Row],[Inventory value]]&gt;AVERAGE(O47:O146),"High","Low")</f>
        <v>High</v>
      </c>
      <c r="S47" s="10">
        <f>IF(products[[#This Row],[Inventory Val. Status]]="High",1,0)</f>
        <v>1</v>
      </c>
      <c r="T47" s="10">
        <f>IF(products[[#This Row],[Price Outliers]]="High Outlier",1,0)</f>
        <v>0</v>
      </c>
      <c r="U4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8" spans="1:21" x14ac:dyDescent="0.25">
      <c r="A48">
        <v>67</v>
      </c>
      <c r="B48" t="s">
        <v>251</v>
      </c>
      <c r="C48" t="s">
        <v>252</v>
      </c>
      <c r="D48" t="s">
        <v>170</v>
      </c>
      <c r="E48">
        <v>750</v>
      </c>
      <c r="F48" t="s">
        <v>14</v>
      </c>
      <c r="G48">
        <v>623</v>
      </c>
      <c r="H48">
        <v>9282813513019</v>
      </c>
      <c r="I48" t="s">
        <v>253</v>
      </c>
      <c r="J48" t="s">
        <v>179</v>
      </c>
      <c r="K48" t="s">
        <v>23</v>
      </c>
      <c r="L48">
        <v>81</v>
      </c>
      <c r="M48" t="str" cm="1">
        <f t="array" ref="M48">_xlfn.IFS(
OR(J48="XS", J48="5x7 in"), "XS",
OR(TRIM(UPPER(J48))="S", J48="Small", J48="8x10 in"), "S",
OR(J48="M", J48="Medium", J48="30x40 cm"), "M",
OR(J48="L", J48="Large", J48="50x70 cm"), "L",
OR(J48="XL", J48="Extra Large", J48="100x200 mm"), "XL",
OR(J48="XXL", J48="12x18 in"), "XXL", TRUE, "Other"
)</f>
        <v>XXL</v>
      </c>
      <c r="N48" t="str" cm="1">
        <f t="array" ref="N4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48">
        <f xml:space="preserve"> products[[#This Row],[Price]] * products[[#This Row],[Stock]]</f>
        <v>467250</v>
      </c>
      <c r="P48" s="8" t="str" cm="1">
        <f t="array" ref="P4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8" s="10" t="str">
        <f>IF(products[[#This Row],[Stock]] &gt; AVERAGE(G48:G147),"High","Low")</f>
        <v>High</v>
      </c>
      <c r="R48" s="10" t="str">
        <f>IF(products[[#This Row],[Inventory value]]&gt;AVERAGE(O48:O147),"High","Low")</f>
        <v>High</v>
      </c>
      <c r="S48" s="10">
        <f>IF(products[[#This Row],[Inventory Val. Status]]="High",1,0)</f>
        <v>1</v>
      </c>
      <c r="T48" s="10">
        <f>IF(products[[#This Row],[Price Outliers]]="High Outlier",1,0)</f>
        <v>0</v>
      </c>
      <c r="U4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49" spans="1:21" x14ac:dyDescent="0.25">
      <c r="A49">
        <v>40</v>
      </c>
      <c r="B49" t="s">
        <v>168</v>
      </c>
      <c r="C49" t="s">
        <v>169</v>
      </c>
      <c r="D49" t="s">
        <v>170</v>
      </c>
      <c r="E49">
        <v>913</v>
      </c>
      <c r="F49" t="s">
        <v>14</v>
      </c>
      <c r="G49">
        <v>820</v>
      </c>
      <c r="H49">
        <v>5234087663802</v>
      </c>
      <c r="I49" t="s">
        <v>171</v>
      </c>
      <c r="J49" t="s">
        <v>172</v>
      </c>
      <c r="K49" t="s">
        <v>33</v>
      </c>
      <c r="L49">
        <v>77</v>
      </c>
      <c r="M49" t="str" cm="1">
        <f t="array" ref="M49">_xlfn.IFS(
OR(J49="XS", J49="5x7 in"), "XS",
OR(TRIM(UPPER(J49))="S", J49="Small", J49="8x10 in"), "S",
OR(J49="M", J49="Medium", J49="30x40 cm"), "M",
OR(J49="L", J49="Large", J49="50x70 cm"), "L",
OR(J49="XL", J49="Extra Large", J49="100x200 mm"), "XL",
OR(J49="XXL", J49="12x18 in"), "XXL", TRUE, "Other"
)</f>
        <v>S</v>
      </c>
      <c r="N49" t="str" cm="1">
        <f t="array" ref="N4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49">
        <f xml:space="preserve"> products[[#This Row],[Price]] * products[[#This Row],[Stock]]</f>
        <v>748660</v>
      </c>
      <c r="P49" s="8" t="str" cm="1">
        <f t="array" ref="P4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49" s="10" t="str">
        <f>IF(products[[#This Row],[Stock]] &gt; AVERAGE(G49:G148),"High","Low")</f>
        <v>High</v>
      </c>
      <c r="R49" s="10" t="str">
        <f>IF(products[[#This Row],[Inventory value]]&gt;AVERAGE(O49:O148),"High","Low")</f>
        <v>High</v>
      </c>
      <c r="S49" s="10">
        <f>IF(products[[#This Row],[Inventory Val. Status]]="High",1,0)</f>
        <v>1</v>
      </c>
      <c r="T49" s="10">
        <f>IF(products[[#This Row],[Price Outliers]]="High Outlier",1,0)</f>
        <v>0</v>
      </c>
      <c r="U4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50" spans="1:21" x14ac:dyDescent="0.25">
      <c r="A50">
        <v>95</v>
      </c>
      <c r="B50" t="s">
        <v>324</v>
      </c>
      <c r="C50" t="s">
        <v>325</v>
      </c>
      <c r="D50" t="s">
        <v>170</v>
      </c>
      <c r="E50">
        <v>382</v>
      </c>
      <c r="F50" t="s">
        <v>14</v>
      </c>
      <c r="G50">
        <v>639</v>
      </c>
      <c r="H50">
        <v>3611080124547</v>
      </c>
      <c r="I50" t="s">
        <v>326</v>
      </c>
      <c r="J50" t="s">
        <v>179</v>
      </c>
      <c r="K50" t="s">
        <v>17</v>
      </c>
      <c r="L50">
        <v>48</v>
      </c>
      <c r="M50" t="str" cm="1">
        <f t="array" ref="M50">_xlfn.IFS(
OR(J50="XS", J50="5x7 in"), "XS",
OR(TRIM(UPPER(J50))="S", J50="Small", J50="8x10 in"), "S",
OR(J50="M", J50="Medium", J50="30x40 cm"), "M",
OR(J50="L", J50="Large", J50="50x70 cm"), "L",
OR(J50="XL", J50="Extra Large", J50="100x200 mm"), "XL",
OR(J50="XXL", J50="12x18 in"), "XXL", TRUE, "Other"
)</f>
        <v>XXL</v>
      </c>
      <c r="N50" t="str" cm="1">
        <f t="array" ref="N5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0">
        <f xml:space="preserve"> products[[#This Row],[Price]] * products[[#This Row],[Stock]]</f>
        <v>244098</v>
      </c>
      <c r="P50" s="8" t="str" cm="1">
        <f t="array" ref="P5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50" s="10" t="str">
        <f>IF(products[[#This Row],[Stock]] &gt; AVERAGE(G50:G149),"High","Low")</f>
        <v>High</v>
      </c>
      <c r="R50" s="10" t="str">
        <f>IF(products[[#This Row],[Inventory value]]&gt;AVERAGE(O50:O149),"High","Low")</f>
        <v>High</v>
      </c>
      <c r="S50" s="10">
        <f>IF(products[[#This Row],[Inventory Val. Status]]="High",1,0)</f>
        <v>1</v>
      </c>
      <c r="T50" s="10">
        <f>IF(products[[#This Row],[Price Outliers]]="High Outlier",1,0)</f>
        <v>0</v>
      </c>
      <c r="U5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51" spans="1:21" x14ac:dyDescent="0.25">
      <c r="A51">
        <v>25</v>
      </c>
      <c r="B51" t="s">
        <v>119</v>
      </c>
      <c r="C51" t="s">
        <v>120</v>
      </c>
      <c r="D51" t="s">
        <v>64</v>
      </c>
      <c r="E51">
        <v>900</v>
      </c>
      <c r="F51" t="s">
        <v>14</v>
      </c>
      <c r="G51">
        <v>623</v>
      </c>
      <c r="H51">
        <v>6501687247749</v>
      </c>
      <c r="I51" t="s">
        <v>31</v>
      </c>
      <c r="J51" t="s">
        <v>85</v>
      </c>
      <c r="K51" t="s">
        <v>91</v>
      </c>
      <c r="L51">
        <v>47</v>
      </c>
      <c r="M51" t="str" cm="1">
        <f t="array" ref="M51">_xlfn.IFS(
OR(J51="XS", J51="5x7 in"), "XS",
OR(TRIM(UPPER(J51))="S", J51="Small", J51="8x10 in"), "S",
OR(J51="M", J51="Medium", J51="30x40 cm"), "M",
OR(J51="L", J51="Large", J51="50x70 cm"), "L",
OR(J51="XL", J51="Extra Large", J51="100x200 mm"), "XL",
OR(J51="XXL", J51="12x18 in"), "XXL", TRUE, "Other"
)</f>
        <v>XS</v>
      </c>
      <c r="N51" t="str" cm="1">
        <f t="array" ref="N5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1">
        <f xml:space="preserve"> products[[#This Row],[Price]] * products[[#This Row],[Stock]]</f>
        <v>560700</v>
      </c>
      <c r="P51" s="8" t="str" cm="1">
        <f t="array" ref="P5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51" s="10" t="str">
        <f>IF(products[[#This Row],[Stock]] &gt; AVERAGE(G51:G150),"High","Low")</f>
        <v>High</v>
      </c>
      <c r="R51" s="10" t="str">
        <f>IF(products[[#This Row],[Inventory value]]&gt;AVERAGE(O51:O150),"High","Low")</f>
        <v>High</v>
      </c>
      <c r="S51" s="10">
        <f>IF(products[[#This Row],[Inventory Val. Status]]="High",1,0)</f>
        <v>1</v>
      </c>
      <c r="T51" s="10">
        <f>IF(products[[#This Row],[Price Outliers]]="High Outlier",1,0)</f>
        <v>1</v>
      </c>
      <c r="U5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0.8</v>
      </c>
    </row>
    <row r="52" spans="1:21" x14ac:dyDescent="0.25">
      <c r="A52">
        <v>46</v>
      </c>
      <c r="B52" t="s">
        <v>190</v>
      </c>
      <c r="C52" t="s">
        <v>191</v>
      </c>
      <c r="D52" t="s">
        <v>64</v>
      </c>
      <c r="E52">
        <v>161</v>
      </c>
      <c r="F52" t="s">
        <v>14</v>
      </c>
      <c r="G52">
        <v>349</v>
      </c>
      <c r="H52">
        <v>5367012957872</v>
      </c>
      <c r="I52" t="s">
        <v>192</v>
      </c>
      <c r="J52" t="s">
        <v>61</v>
      </c>
      <c r="K52" t="s">
        <v>86</v>
      </c>
      <c r="L52">
        <v>9</v>
      </c>
      <c r="M52" t="str" cm="1">
        <f t="array" ref="M52">_xlfn.IFS(
OR(J52="XS", J52="5x7 in"), "XS",
OR(TRIM(UPPER(J52))="S", J52="Small", J52="8x10 in"), "S",
OR(J52="M", J52="Medium", J52="30x40 cm"), "M",
OR(J52="L", J52="Large", J52="50x70 cm"), "L",
OR(J52="XL", J52="Extra Large", J52="100x200 mm"), "XL",
OR(J52="XXL", J52="12x18 in"), "XXL", TRUE, "Other"
)</f>
        <v>XL</v>
      </c>
      <c r="N52" t="str" cm="1">
        <f t="array" ref="N5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2">
        <f xml:space="preserve"> products[[#This Row],[Price]] * products[[#This Row],[Stock]]</f>
        <v>56189</v>
      </c>
      <c r="P52" s="8" t="str" cm="1">
        <f t="array" ref="P5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2" s="10" t="str">
        <f>IF(products[[#This Row],[Stock]] &gt; AVERAGE(G52:G151),"High","Low")</f>
        <v>Low</v>
      </c>
      <c r="R52" s="10" t="str">
        <f>IF(products[[#This Row],[Inventory value]]&gt;AVERAGE(O52:O151),"High","Low")</f>
        <v>Low</v>
      </c>
      <c r="S52" s="10">
        <f>IF(products[[#This Row],[Inventory Val. Status]]="High",1,0)</f>
        <v>0</v>
      </c>
      <c r="T52" s="10">
        <f>IF(products[[#This Row],[Price Outliers]]="High Outlier",1,0)</f>
        <v>0</v>
      </c>
      <c r="U5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53" spans="1:21" x14ac:dyDescent="0.25">
      <c r="A53">
        <v>44</v>
      </c>
      <c r="B53" t="s">
        <v>184</v>
      </c>
      <c r="C53" t="s">
        <v>185</v>
      </c>
      <c r="D53" t="s">
        <v>64</v>
      </c>
      <c r="E53">
        <v>259</v>
      </c>
      <c r="F53" t="s">
        <v>14</v>
      </c>
      <c r="G53">
        <v>668</v>
      </c>
      <c r="H53">
        <v>8611986118980</v>
      </c>
      <c r="I53" t="s">
        <v>186</v>
      </c>
      <c r="J53" t="s">
        <v>85</v>
      </c>
      <c r="K53" t="s">
        <v>23</v>
      </c>
      <c r="L53">
        <v>45</v>
      </c>
      <c r="M53" t="str" cm="1">
        <f t="array" ref="M53">_xlfn.IFS(
OR(J53="XS", J53="5x7 in"), "XS",
OR(TRIM(UPPER(J53))="S", J53="Small", J53="8x10 in"), "S",
OR(J53="M", J53="Medium", J53="30x40 cm"), "M",
OR(J53="L", J53="Large", J53="50x70 cm"), "L",
OR(J53="XL", J53="Extra Large", J53="100x200 mm"), "XL",
OR(J53="XXL", J53="12x18 in"), "XXL", TRUE, "Other"
)</f>
        <v>XS</v>
      </c>
      <c r="N53" t="str" cm="1">
        <f t="array" ref="N5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3">
        <f xml:space="preserve"> products[[#This Row],[Price]] * products[[#This Row],[Stock]]</f>
        <v>173012</v>
      </c>
      <c r="P53" s="8" t="str" cm="1">
        <f t="array" ref="P5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3" s="10" t="str">
        <f>IF(products[[#This Row],[Stock]] &gt; AVERAGE(G53:G152),"High","Low")</f>
        <v>High</v>
      </c>
      <c r="R53" s="10" t="str">
        <f>IF(products[[#This Row],[Inventory value]]&gt;AVERAGE(O53:O152),"High","Low")</f>
        <v>Low</v>
      </c>
      <c r="S53" s="10">
        <f>IF(products[[#This Row],[Inventory Val. Status]]="High",1,0)</f>
        <v>0</v>
      </c>
      <c r="T53" s="10">
        <f>IF(products[[#This Row],[Price Outliers]]="High Outlier",1,0)</f>
        <v>0</v>
      </c>
      <c r="U5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54" spans="1:21" x14ac:dyDescent="0.25">
      <c r="A54">
        <v>11</v>
      </c>
      <c r="B54" t="s">
        <v>62</v>
      </c>
      <c r="C54" t="s">
        <v>63</v>
      </c>
      <c r="D54" t="s">
        <v>64</v>
      </c>
      <c r="E54">
        <v>257</v>
      </c>
      <c r="F54" t="s">
        <v>14</v>
      </c>
      <c r="G54">
        <v>168</v>
      </c>
      <c r="H54">
        <v>9680811891595</v>
      </c>
      <c r="I54" t="s">
        <v>65</v>
      </c>
      <c r="J54" t="s">
        <v>61</v>
      </c>
      <c r="K54" t="s">
        <v>17</v>
      </c>
      <c r="L54">
        <v>30</v>
      </c>
      <c r="M54" t="str" cm="1">
        <f t="array" ref="M54">_xlfn.IFS(
OR(J54="XS", J54="5x7 in"), "XS",
OR(TRIM(UPPER(J54))="S", J54="Small", J54="8x10 in"), "S",
OR(J54="M", J54="Medium", J54="30x40 cm"), "M",
OR(J54="L", J54="Large", J54="50x70 cm"), "L",
OR(J54="XL", J54="Extra Large", J54="100x200 mm"), "XL",
OR(J54="XXL", J54="12x18 in"), "XXL", TRUE, "Other"
)</f>
        <v>XL</v>
      </c>
      <c r="N54" t="str" cm="1">
        <f t="array" ref="N5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54">
        <f xml:space="preserve"> products[[#This Row],[Price]] * products[[#This Row],[Stock]]</f>
        <v>43176</v>
      </c>
      <c r="P54" s="8" t="str" cm="1">
        <f t="array" ref="P5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4" s="10" t="str">
        <f>IF(products[[#This Row],[Stock]] &gt; AVERAGE(G54:G153),"High","Low")</f>
        <v>Low</v>
      </c>
      <c r="R54" s="10" t="str">
        <f>IF(products[[#This Row],[Inventory value]]&gt;AVERAGE(O54:O153),"High","Low")</f>
        <v>Low</v>
      </c>
      <c r="S54" s="10">
        <f>IF(products[[#This Row],[Inventory Val. Status]]="High",1,0)</f>
        <v>0</v>
      </c>
      <c r="T54" s="10">
        <f>IF(products[[#This Row],[Price Outliers]]="High Outlier",1,0)</f>
        <v>0</v>
      </c>
      <c r="U5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55" spans="1:21" x14ac:dyDescent="0.25">
      <c r="A55">
        <v>18</v>
      </c>
      <c r="B55" t="s">
        <v>92</v>
      </c>
      <c r="C55" t="s">
        <v>93</v>
      </c>
      <c r="D55" t="s">
        <v>64</v>
      </c>
      <c r="E55">
        <v>3</v>
      </c>
      <c r="F55" t="s">
        <v>14</v>
      </c>
      <c r="G55">
        <v>732</v>
      </c>
      <c r="H55">
        <v>4170125892616</v>
      </c>
      <c r="I55" t="s">
        <v>94</v>
      </c>
      <c r="J55" t="s">
        <v>95</v>
      </c>
      <c r="K55" t="s">
        <v>96</v>
      </c>
      <c r="L55">
        <v>87</v>
      </c>
      <c r="M55" t="str" cm="1">
        <f t="array" ref="M55">_xlfn.IFS(
OR(J55="XS", J55="5x7 in"), "XS",
OR(TRIM(UPPER(J55))="S", J55="Small", J55="8x10 in"), "S",
OR(J55="M", J55="Medium", J55="30x40 cm"), "M",
OR(J55="L", J55="Large", J55="50x70 cm"), "L",
OR(J55="XL", J55="Extra Large", J55="100x200 mm"), "XL",
OR(J55="XXL", J55="12x18 in"), "XXL", TRUE, "Other"
)</f>
        <v>Other</v>
      </c>
      <c r="N55" t="str" cm="1">
        <f t="array" ref="N5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5">
        <f xml:space="preserve"> products[[#This Row],[Price]] * products[[#This Row],[Stock]]</f>
        <v>2196</v>
      </c>
      <c r="P55" s="8" t="str" cm="1">
        <f t="array" ref="P5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5" s="10" t="str">
        <f>IF(products[[#This Row],[Stock]] &gt; AVERAGE(G55:G154),"High","Low")</f>
        <v>High</v>
      </c>
      <c r="R55" s="10" t="str">
        <f>IF(products[[#This Row],[Inventory value]]&gt;AVERAGE(O55:O154),"High","Low")</f>
        <v>Low</v>
      </c>
      <c r="S55" s="10">
        <f>IF(products[[#This Row],[Inventory Val. Status]]="High",1,0)</f>
        <v>0</v>
      </c>
      <c r="T55" s="10">
        <f>IF(products[[#This Row],[Price Outliers]]="High Outlier",1,0)</f>
        <v>0</v>
      </c>
      <c r="U5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56" spans="1:21" x14ac:dyDescent="0.25">
      <c r="A56">
        <v>88</v>
      </c>
      <c r="B56" t="s">
        <v>309</v>
      </c>
      <c r="C56" t="s">
        <v>310</v>
      </c>
      <c r="D56" t="s">
        <v>64</v>
      </c>
      <c r="E56">
        <v>30</v>
      </c>
      <c r="F56" t="s">
        <v>14</v>
      </c>
      <c r="G56">
        <v>728</v>
      </c>
      <c r="H56">
        <v>1287056757693</v>
      </c>
      <c r="I56" t="s">
        <v>65</v>
      </c>
      <c r="J56" t="s">
        <v>95</v>
      </c>
      <c r="K56" t="s">
        <v>17</v>
      </c>
      <c r="L56">
        <v>60</v>
      </c>
      <c r="M56" t="str" cm="1">
        <f t="array" ref="M56">_xlfn.IFS(
OR(J56="XS", J56="5x7 in"), "XS",
OR(TRIM(UPPER(J56))="S", J56="Small", J56="8x10 in"), "S",
OR(J56="M", J56="Medium", J56="30x40 cm"), "M",
OR(J56="L", J56="Large", J56="50x70 cm"), "L",
OR(J56="XL", J56="Extra Large", J56="100x200 mm"), "XL",
OR(J56="XXL", J56="12x18 in"), "XXL", TRUE, "Other"
)</f>
        <v>Other</v>
      </c>
      <c r="N56" t="str" cm="1">
        <f t="array" ref="N5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6">
        <f xml:space="preserve"> products[[#This Row],[Price]] * products[[#This Row],[Stock]]</f>
        <v>21840</v>
      </c>
      <c r="P56" s="8" t="str" cm="1">
        <f t="array" ref="P5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6" s="10" t="str">
        <f>IF(products[[#This Row],[Stock]] &gt; AVERAGE(G56:G155),"High","Low")</f>
        <v>High</v>
      </c>
      <c r="R56" s="10" t="str">
        <f>IF(products[[#This Row],[Inventory value]]&gt;AVERAGE(O56:O155),"High","Low")</f>
        <v>Low</v>
      </c>
      <c r="S56" s="10">
        <f>IF(products[[#This Row],[Inventory Val. Status]]="High",1,0)</f>
        <v>0</v>
      </c>
      <c r="T56" s="10">
        <f>IF(products[[#This Row],[Price Outliers]]="High Outlier",1,0)</f>
        <v>0</v>
      </c>
      <c r="U5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57" spans="1:21" x14ac:dyDescent="0.25">
      <c r="A57">
        <v>73</v>
      </c>
      <c r="B57" t="s">
        <v>271</v>
      </c>
      <c r="C57" t="s">
        <v>272</v>
      </c>
      <c r="D57" t="s">
        <v>273</v>
      </c>
      <c r="E57">
        <v>685</v>
      </c>
      <c r="F57" t="s">
        <v>14</v>
      </c>
      <c r="G57">
        <v>747</v>
      </c>
      <c r="H57">
        <v>7695934105636</v>
      </c>
      <c r="I57" t="s">
        <v>135</v>
      </c>
      <c r="J57" t="s">
        <v>43</v>
      </c>
      <c r="K57" t="s">
        <v>23</v>
      </c>
      <c r="L57">
        <v>36</v>
      </c>
      <c r="M57" t="str" cm="1">
        <f t="array" ref="M57">_xlfn.IFS(
OR(J57="XS", J57="5x7 in"), "XS",
OR(TRIM(UPPER(J57))="S", J57="Small", J57="8x10 in"), "S",
OR(J57="M", J57="Medium", J57="30x40 cm"), "M",
OR(J57="L", J57="Large", J57="50x70 cm"), "L",
OR(J57="XL", J57="Extra Large", J57="100x200 mm"), "XL",
OR(J57="XXL", J57="12x18 in"), "XXL", TRUE, "Other"
)</f>
        <v>M</v>
      </c>
      <c r="N57" t="str" cm="1">
        <f t="array" ref="N5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7">
        <f xml:space="preserve"> products[[#This Row],[Price]] * products[[#This Row],[Stock]]</f>
        <v>511695</v>
      </c>
      <c r="P57" s="8" t="str" cm="1">
        <f t="array" ref="P5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7" s="10" t="str">
        <f>IF(products[[#This Row],[Stock]] &gt; AVERAGE(G57:G156),"High","Low")</f>
        <v>High</v>
      </c>
      <c r="R57" s="10" t="str">
        <f>IF(products[[#This Row],[Inventory value]]&gt;AVERAGE(O57:O156),"High","Low")</f>
        <v>High</v>
      </c>
      <c r="S57" s="10">
        <f>IF(products[[#This Row],[Inventory Val. Status]]="High",1,0)</f>
        <v>1</v>
      </c>
      <c r="T57" s="10">
        <f>IF(products[[#This Row],[Price Outliers]]="High Outlier",1,0)</f>
        <v>0</v>
      </c>
      <c r="U5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58" spans="1:21" x14ac:dyDescent="0.25">
      <c r="A58">
        <v>79</v>
      </c>
      <c r="B58" t="s">
        <v>287</v>
      </c>
      <c r="C58" t="s">
        <v>288</v>
      </c>
      <c r="D58" t="s">
        <v>273</v>
      </c>
      <c r="E58">
        <v>50</v>
      </c>
      <c r="F58" t="s">
        <v>14</v>
      </c>
      <c r="G58">
        <v>413</v>
      </c>
      <c r="H58">
        <v>445370808496</v>
      </c>
      <c r="I58" t="s">
        <v>289</v>
      </c>
      <c r="J58" t="s">
        <v>32</v>
      </c>
      <c r="K58" t="s">
        <v>17</v>
      </c>
      <c r="L58">
        <v>25</v>
      </c>
      <c r="M58" t="str" cm="1">
        <f t="array" ref="M58">_xlfn.IFS(
OR(J58="XS", J58="5x7 in"), "XS",
OR(TRIM(UPPER(J58))="S", J58="Small", J58="8x10 in"), "S",
OR(J58="M", J58="Medium", J58="30x40 cm"), "M",
OR(J58="L", J58="Large", J58="50x70 cm"), "L",
OR(J58="XL", J58="Extra Large", J58="100x200 mm"), "XL",
OR(J58="XXL", J58="12x18 in"), "XXL", TRUE, "Other"
)</f>
        <v>L</v>
      </c>
      <c r="N58" t="str" cm="1">
        <f t="array" ref="N5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8">
        <f xml:space="preserve"> products[[#This Row],[Price]] * products[[#This Row],[Stock]]</f>
        <v>20650</v>
      </c>
      <c r="P58" s="8" t="str" cm="1">
        <f t="array" ref="P5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8" s="10" t="str">
        <f>IF(products[[#This Row],[Stock]] &gt; AVERAGE(G58:G157),"High","Low")</f>
        <v>Low</v>
      </c>
      <c r="R58" s="10" t="str">
        <f>IF(products[[#This Row],[Inventory value]]&gt;AVERAGE(O58:O157),"High","Low")</f>
        <v>Low</v>
      </c>
      <c r="S58" s="10">
        <f>IF(products[[#This Row],[Inventory Val. Status]]="High",1,0)</f>
        <v>0</v>
      </c>
      <c r="T58" s="10">
        <f>IF(products[[#This Row],[Price Outliers]]="High Outlier",1,0)</f>
        <v>0</v>
      </c>
      <c r="U5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59" spans="1:21" x14ac:dyDescent="0.25">
      <c r="A59">
        <v>43</v>
      </c>
      <c r="B59" t="s">
        <v>180</v>
      </c>
      <c r="C59" t="s">
        <v>181</v>
      </c>
      <c r="D59" t="s">
        <v>182</v>
      </c>
      <c r="E59">
        <v>935</v>
      </c>
      <c r="F59" t="s">
        <v>14</v>
      </c>
      <c r="G59">
        <v>55</v>
      </c>
      <c r="H59">
        <v>655296358115</v>
      </c>
      <c r="I59" t="s">
        <v>183</v>
      </c>
      <c r="J59" t="s">
        <v>90</v>
      </c>
      <c r="K59" t="s">
        <v>86</v>
      </c>
      <c r="L59">
        <v>52</v>
      </c>
      <c r="M59" t="str" cm="1">
        <f t="array" ref="M59">_xlfn.IFS(
OR(J59="XS", J59="5x7 in"), "XS",
OR(TRIM(UPPER(J59))="S", J59="Small", J59="8x10 in"), "S",
OR(J59="M", J59="Medium", J59="30x40 cm"), "M",
OR(J59="L", J59="Large", J59="50x70 cm"), "L",
OR(J59="XL", J59="Extra Large", J59="100x200 mm"), "XL",
OR(J59="XXL", J59="12x18 in"), "XXL", TRUE, "Other"
)</f>
        <v>XL</v>
      </c>
      <c r="N59" t="str" cm="1">
        <f t="array" ref="N5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59">
        <f xml:space="preserve"> products[[#This Row],[Price]] * products[[#This Row],[Stock]]</f>
        <v>51425</v>
      </c>
      <c r="P59" s="8" t="str" cm="1">
        <f t="array" ref="P5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59" s="10" t="str">
        <f>IF(products[[#This Row],[Stock]] &gt; AVERAGE(G59:G158),"High","Low")</f>
        <v>Low</v>
      </c>
      <c r="R59" s="10" t="str">
        <f>IF(products[[#This Row],[Inventory value]]&gt;AVERAGE(O59:O158),"High","Low")</f>
        <v>Low</v>
      </c>
      <c r="S59" s="10">
        <f>IF(products[[#This Row],[Inventory Val. Status]]="High",1,0)</f>
        <v>0</v>
      </c>
      <c r="T59" s="10">
        <f>IF(products[[#This Row],[Price Outliers]]="High Outlier",1,0)</f>
        <v>0</v>
      </c>
      <c r="U5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60" spans="1:21" x14ac:dyDescent="0.25">
      <c r="A60">
        <v>75</v>
      </c>
      <c r="B60" t="s">
        <v>276</v>
      </c>
      <c r="C60" t="s">
        <v>277</v>
      </c>
      <c r="D60" t="s">
        <v>182</v>
      </c>
      <c r="E60">
        <v>630</v>
      </c>
      <c r="F60" t="s">
        <v>14</v>
      </c>
      <c r="G60">
        <v>438</v>
      </c>
      <c r="H60">
        <v>310774792552</v>
      </c>
      <c r="I60" t="s">
        <v>278</v>
      </c>
      <c r="J60" t="s">
        <v>22</v>
      </c>
      <c r="K60" t="s">
        <v>96</v>
      </c>
      <c r="L60">
        <v>4</v>
      </c>
      <c r="M60" t="str" cm="1">
        <f t="array" ref="M60">_xlfn.IFS(
OR(J60="XS", J60="5x7 in"), "XS",
OR(TRIM(UPPER(J60))="S", J60="Small", J60="8x10 in"), "S",
OR(J60="M", J60="Medium", J60="30x40 cm"), "M",
OR(J60="L", J60="Large", J60="50x70 cm"), "L",
OR(J60="XL", J60="Extra Large", J60="100x200 mm"), "XL",
OR(J60="XXL", J60="12x18 in"), "XXL", TRUE, "Other"
)</f>
        <v>S</v>
      </c>
      <c r="N60" t="str" cm="1">
        <f t="array" ref="N6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0">
        <f xml:space="preserve"> products[[#This Row],[Price]] * products[[#This Row],[Stock]]</f>
        <v>275940</v>
      </c>
      <c r="P60" s="8" t="str" cm="1">
        <f t="array" ref="P6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0" s="10" t="str">
        <f>IF(products[[#This Row],[Stock]] &gt; AVERAGE(G60:G159),"High","Low")</f>
        <v>Low</v>
      </c>
      <c r="R60" s="10" t="str">
        <f>IF(products[[#This Row],[Inventory value]]&gt;AVERAGE(O60:O159),"High","Low")</f>
        <v>High</v>
      </c>
      <c r="S60" s="10">
        <f>IF(products[[#This Row],[Inventory Val. Status]]="High",1,0)</f>
        <v>1</v>
      </c>
      <c r="T60" s="10">
        <f>IF(products[[#This Row],[Price Outliers]]="High Outlier",1,0)</f>
        <v>0</v>
      </c>
      <c r="U6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61" spans="1:21" x14ac:dyDescent="0.25">
      <c r="A61">
        <v>34</v>
      </c>
      <c r="B61" t="s">
        <v>150</v>
      </c>
      <c r="C61" t="s">
        <v>151</v>
      </c>
      <c r="D61" t="s">
        <v>36</v>
      </c>
      <c r="E61">
        <v>407</v>
      </c>
      <c r="F61" t="s">
        <v>14</v>
      </c>
      <c r="G61">
        <v>285</v>
      </c>
      <c r="H61">
        <v>2327483415120</v>
      </c>
      <c r="I61" t="s">
        <v>152</v>
      </c>
      <c r="J61" t="s">
        <v>22</v>
      </c>
      <c r="K61" t="s">
        <v>91</v>
      </c>
      <c r="L61">
        <v>65</v>
      </c>
      <c r="M61" t="str" cm="1">
        <f t="array" ref="M61">_xlfn.IFS(
OR(J61="XS", J61="5x7 in"), "XS",
OR(TRIM(UPPER(J61))="S", J61="Small", J61="8x10 in"), "S",
OR(J61="M", J61="Medium", J61="30x40 cm"), "M",
OR(J61="L", J61="Large", J61="50x70 cm"), "L",
OR(J61="XL", J61="Extra Large", J61="100x200 mm"), "XL",
OR(J61="XXL", J61="12x18 in"), "XXL", TRUE, "Other"
)</f>
        <v>S</v>
      </c>
      <c r="N61" t="str" cm="1">
        <f t="array" ref="N6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1">
        <f xml:space="preserve"> products[[#This Row],[Price]] * products[[#This Row],[Stock]]</f>
        <v>115995</v>
      </c>
      <c r="P61" s="8" t="str" cm="1">
        <f t="array" ref="P6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1" s="10" t="str">
        <f>IF(products[[#This Row],[Stock]] &gt; AVERAGE(G61:G160),"High","Low")</f>
        <v>Low</v>
      </c>
      <c r="R61" s="10" t="str">
        <f>IF(products[[#This Row],[Inventory value]]&gt;AVERAGE(O61:O160),"High","Low")</f>
        <v>Low</v>
      </c>
      <c r="S61" s="10">
        <f>IF(products[[#This Row],[Inventory Val. Status]]="High",1,0)</f>
        <v>0</v>
      </c>
      <c r="T61" s="10">
        <f>IF(products[[#This Row],[Price Outliers]]="High Outlier",1,0)</f>
        <v>0</v>
      </c>
      <c r="U6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62" spans="1:21" x14ac:dyDescent="0.25">
      <c r="A62">
        <v>5</v>
      </c>
      <c r="B62" t="s">
        <v>34</v>
      </c>
      <c r="C62" t="s">
        <v>35</v>
      </c>
      <c r="D62" t="s">
        <v>36</v>
      </c>
      <c r="E62">
        <v>1</v>
      </c>
      <c r="F62" t="s">
        <v>14</v>
      </c>
      <c r="G62">
        <v>925</v>
      </c>
      <c r="H62">
        <v>9055773261265</v>
      </c>
      <c r="I62" t="s">
        <v>37</v>
      </c>
      <c r="J62" t="s">
        <v>38</v>
      </c>
      <c r="K62" t="s">
        <v>33</v>
      </c>
      <c r="L62">
        <v>10</v>
      </c>
      <c r="M62" t="str" cm="1">
        <f t="array" ref="M62">_xlfn.IFS(
OR(J62="XS", J62="5x7 in"), "XS",
OR(TRIM(UPPER(J62))="S", J62="Small", J62="8x10 in"), "S",
OR(J62="M", J62="Medium", J62="30x40 cm"), "M",
OR(J62="L", J62="Large", J62="50x70 cm"), "L",
OR(J62="XL", J62="Extra Large", J62="100x200 mm"), "XL",
OR(J62="XXL", J62="12x18 in"), "XXL", TRUE, "Other"
)</f>
        <v>XL</v>
      </c>
      <c r="N62" t="str" cm="1">
        <f t="array" ref="N6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2">
        <f xml:space="preserve"> products[[#This Row],[Price]] * products[[#This Row],[Stock]]</f>
        <v>925</v>
      </c>
      <c r="P62" s="8" t="str" cm="1">
        <f t="array" ref="P6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62" s="10" t="str">
        <f>IF(products[[#This Row],[Stock]] &gt; AVERAGE(G62:G161),"High","Low")</f>
        <v>High</v>
      </c>
      <c r="R62" s="10" t="str">
        <f>IF(products[[#This Row],[Inventory value]]&gt;AVERAGE(O62:O161),"High","Low")</f>
        <v>Low</v>
      </c>
      <c r="S62" s="10">
        <f>IF(products[[#This Row],[Inventory Val. Status]]="High",1,0)</f>
        <v>0</v>
      </c>
      <c r="T62" s="10">
        <f>IF(products[[#This Row],[Price Outliers]]="High Outlier",1,0)</f>
        <v>0</v>
      </c>
      <c r="U6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63" spans="1:21" x14ac:dyDescent="0.25">
      <c r="A63">
        <v>30</v>
      </c>
      <c r="B63" t="s">
        <v>136</v>
      </c>
      <c r="C63" t="s">
        <v>137</v>
      </c>
      <c r="D63" t="s">
        <v>36</v>
      </c>
      <c r="E63">
        <v>576</v>
      </c>
      <c r="F63" t="s">
        <v>14</v>
      </c>
      <c r="G63">
        <v>988</v>
      </c>
      <c r="H63">
        <v>6639325474032</v>
      </c>
      <c r="I63" t="s">
        <v>138</v>
      </c>
      <c r="J63" t="s">
        <v>32</v>
      </c>
      <c r="K63" t="s">
        <v>17</v>
      </c>
      <c r="L63">
        <v>40</v>
      </c>
      <c r="M63" t="str" cm="1">
        <f t="array" ref="M63">_xlfn.IFS(
OR(J63="XS", J63="5x7 in"), "XS",
OR(TRIM(UPPER(J63))="S", J63="Small", J63="8x10 in"), "S",
OR(J63="M", J63="Medium", J63="30x40 cm"), "M",
OR(J63="L", J63="Large", J63="50x70 cm"), "L",
OR(J63="XL", J63="Extra Large", J63="100x200 mm"), "XL",
OR(J63="XXL", J63="12x18 in"), "XXL", TRUE, "Other"
)</f>
        <v>L</v>
      </c>
      <c r="N63" t="str" cm="1">
        <f t="array" ref="N6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3">
        <f xml:space="preserve"> products[[#This Row],[Price]] * products[[#This Row],[Stock]]</f>
        <v>569088</v>
      </c>
      <c r="P63" s="8" t="str" cm="1">
        <f t="array" ref="P6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3" s="10" t="str">
        <f>IF(products[[#This Row],[Stock]] &gt; AVERAGE(G63:G162),"High","Low")</f>
        <v>High</v>
      </c>
      <c r="R63" s="10" t="str">
        <f>IF(products[[#This Row],[Inventory value]]&gt;AVERAGE(O63:O162),"High","Low")</f>
        <v>High</v>
      </c>
      <c r="S63" s="10">
        <f>IF(products[[#This Row],[Inventory Val. Status]]="High",1,0)</f>
        <v>1</v>
      </c>
      <c r="T63" s="10">
        <f>IF(products[[#This Row],[Price Outliers]]="High Outlier",1,0)</f>
        <v>0</v>
      </c>
      <c r="U6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row>
    <row r="64" spans="1:21" x14ac:dyDescent="0.25">
      <c r="A64">
        <v>38</v>
      </c>
      <c r="B64" t="s">
        <v>162</v>
      </c>
      <c r="C64" t="s">
        <v>163</v>
      </c>
      <c r="D64" t="s">
        <v>36</v>
      </c>
      <c r="E64">
        <v>640</v>
      </c>
      <c r="F64" t="s">
        <v>14</v>
      </c>
      <c r="G64">
        <v>780</v>
      </c>
      <c r="H64">
        <v>2837107354495</v>
      </c>
      <c r="I64" t="s">
        <v>164</v>
      </c>
      <c r="J64" t="s">
        <v>85</v>
      </c>
      <c r="K64" t="s">
        <v>33</v>
      </c>
      <c r="L64">
        <v>96</v>
      </c>
      <c r="M64" t="str" cm="1">
        <f t="array" ref="M64">_xlfn.IFS(
OR(J64="XS", J64="5x7 in"), "XS",
OR(TRIM(UPPER(J64))="S", J64="Small", J64="8x10 in"), "S",
OR(J64="M", J64="Medium", J64="30x40 cm"), "M",
OR(J64="L", J64="Large", J64="50x70 cm"), "L",
OR(J64="XL", J64="Extra Large", J64="100x200 mm"), "XL",
OR(J64="XXL", J64="12x18 in"), "XXL", TRUE, "Other"
)</f>
        <v>XS</v>
      </c>
      <c r="N64" t="str" cm="1">
        <f t="array" ref="N6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4">
        <f xml:space="preserve"> products[[#This Row],[Price]] * products[[#This Row],[Stock]]</f>
        <v>499200</v>
      </c>
      <c r="P64" s="8" t="str" cm="1">
        <f t="array" ref="P6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4" s="10" t="str">
        <f>IF(products[[#This Row],[Stock]] &gt; AVERAGE(G64:G163),"High","Low")</f>
        <v>High</v>
      </c>
      <c r="R64" s="10" t="str">
        <f>IF(products[[#This Row],[Inventory value]]&gt;AVERAGE(O64:O163),"High","Low")</f>
        <v>High</v>
      </c>
      <c r="S64" s="10">
        <f>IF(products[[#This Row],[Inventory Val. Status]]="High",1,0)</f>
        <v>1</v>
      </c>
      <c r="T64" s="10">
        <f>IF(products[[#This Row],[Price Outliers]]="High Outlier",1,0)</f>
        <v>0</v>
      </c>
      <c r="U6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row>
    <row r="65" spans="1:21" x14ac:dyDescent="0.25">
      <c r="A65">
        <v>77</v>
      </c>
      <c r="B65" t="s">
        <v>282</v>
      </c>
      <c r="C65" t="s">
        <v>283</v>
      </c>
      <c r="D65" t="s">
        <v>36</v>
      </c>
      <c r="E65">
        <v>365</v>
      </c>
      <c r="F65" t="s">
        <v>14</v>
      </c>
      <c r="G65">
        <v>71</v>
      </c>
      <c r="H65">
        <v>7806787405877</v>
      </c>
      <c r="I65" t="s">
        <v>243</v>
      </c>
      <c r="J65" t="s">
        <v>56</v>
      </c>
      <c r="K65" t="s">
        <v>17</v>
      </c>
      <c r="L65">
        <v>40</v>
      </c>
      <c r="M65" t="str" cm="1">
        <f t="array" ref="M65">_xlfn.IFS(
OR(J65="XS", J65="5x7 in"), "XS",
OR(TRIM(UPPER(J65))="S", J65="Small", J65="8x10 in"), "S",
OR(J65="M", J65="Medium", J65="30x40 cm"), "M",
OR(J65="L", J65="Large", J65="50x70 cm"), "L",
OR(J65="XL", J65="Extra Large", J65="100x200 mm"), "XL",
OR(J65="XXL", J65="12x18 in"), "XXL", TRUE, "Other"
)</f>
        <v>M</v>
      </c>
      <c r="N65" t="str" cm="1">
        <f t="array" ref="N6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65">
        <f xml:space="preserve"> products[[#This Row],[Price]] * products[[#This Row],[Stock]]</f>
        <v>25915</v>
      </c>
      <c r="P65" s="8" t="str" cm="1">
        <f t="array" ref="P6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5" s="10" t="str">
        <f>IF(products[[#This Row],[Stock]] &gt; AVERAGE(G65:G164),"High","Low")</f>
        <v>Low</v>
      </c>
      <c r="R65" s="10" t="str">
        <f>IF(products[[#This Row],[Inventory value]]&gt;AVERAGE(O65:O164),"High","Low")</f>
        <v>Low</v>
      </c>
      <c r="S65" s="10">
        <f>IF(products[[#This Row],[Inventory Val. Status]]="High",1,0)</f>
        <v>0</v>
      </c>
      <c r="T65" s="10">
        <f>IF(products[[#This Row],[Price Outliers]]="High Outlier",1,0)</f>
        <v>0</v>
      </c>
      <c r="U6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66" spans="1:21" x14ac:dyDescent="0.25">
      <c r="A66">
        <v>3</v>
      </c>
      <c r="B66" t="s">
        <v>24</v>
      </c>
      <c r="C66" t="s">
        <v>25</v>
      </c>
      <c r="D66" t="s">
        <v>26</v>
      </c>
      <c r="E66">
        <v>227</v>
      </c>
      <c r="F66" t="s">
        <v>14</v>
      </c>
      <c r="G66">
        <v>726</v>
      </c>
      <c r="H66">
        <v>1282898648918</v>
      </c>
      <c r="I66" t="s">
        <v>27</v>
      </c>
      <c r="J66" t="s">
        <v>28</v>
      </c>
      <c r="K66" t="s">
        <v>23</v>
      </c>
      <c r="L66">
        <v>70</v>
      </c>
      <c r="M66" t="str" cm="1">
        <f t="array" ref="M66">_xlfn.IFS(
OR(J66="XS", J66="5x7 in"), "XS",
OR(TRIM(UPPER(J66))="S", J66="Small", J66="8x10 in"), "S",
OR(J66="M", J66="Medium", J66="30x40 cm"), "M",
OR(J66="L", J66="Large", J66="50x70 cm"), "L",
OR(J66="XL", J66="Extra Large", J66="100x200 mm"), "XL",
OR(J66="XXL", J66="12x18 in"), "XXL", TRUE, "Other"
)</f>
        <v>XS</v>
      </c>
      <c r="N66" t="str" cm="1">
        <f t="array" ref="N6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66">
        <f xml:space="preserve"> products[[#This Row],[Price]] * products[[#This Row],[Stock]]</f>
        <v>164802</v>
      </c>
      <c r="P66" s="8" t="str" cm="1">
        <f t="array" ref="P6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6" s="10" t="str">
        <f>IF(products[[#This Row],[Stock]] &gt; AVERAGE(G66:G165),"High","Low")</f>
        <v>High</v>
      </c>
      <c r="R66" s="10" t="str">
        <f>IF(products[[#This Row],[Inventory value]]&gt;AVERAGE(O66:O165),"High","Low")</f>
        <v>Low</v>
      </c>
      <c r="S66" s="10">
        <f>IF(products[[#This Row],[Inventory Val. Status]]="High",1,0)</f>
        <v>0</v>
      </c>
      <c r="T66" s="10">
        <f>IF(products[[#This Row],[Price Outliers]]="High Outlier",1,0)</f>
        <v>0</v>
      </c>
      <c r="U6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67" spans="1:21" x14ac:dyDescent="0.25">
      <c r="A67">
        <v>91</v>
      </c>
      <c r="B67" t="s">
        <v>315</v>
      </c>
      <c r="C67" t="s">
        <v>316</v>
      </c>
      <c r="D67" t="s">
        <v>26</v>
      </c>
      <c r="E67">
        <v>405</v>
      </c>
      <c r="F67" t="s">
        <v>14</v>
      </c>
      <c r="G67">
        <v>950</v>
      </c>
      <c r="H67">
        <v>524638185</v>
      </c>
      <c r="I67" t="s">
        <v>27</v>
      </c>
      <c r="J67" t="s">
        <v>22</v>
      </c>
      <c r="K67" t="s">
        <v>23</v>
      </c>
      <c r="L67">
        <v>85</v>
      </c>
      <c r="M67" t="str" cm="1">
        <f t="array" ref="M67">_xlfn.IFS(
OR(J67="XS", J67="5x7 in"), "XS",
OR(TRIM(UPPER(J67))="S", J67="Small", J67="8x10 in"), "S",
OR(J67="M", J67="Medium", J67="30x40 cm"), "M",
OR(J67="L", J67="Large", J67="50x70 cm"), "L",
OR(J67="XL", J67="Extra Large", J67="100x200 mm"), "XL",
OR(J67="XXL", J67="12x18 in"), "XXL", TRUE, "Other"
)</f>
        <v>S</v>
      </c>
      <c r="N67" t="str" cm="1">
        <f t="array" ref="N6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7">
        <f xml:space="preserve"> products[[#This Row],[Price]] * products[[#This Row],[Stock]]</f>
        <v>384750</v>
      </c>
      <c r="P67" s="8" t="str" cm="1">
        <f t="array" ref="P6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67" s="10" t="str">
        <f>IF(products[[#This Row],[Stock]] &gt; AVERAGE(G67:G166),"High","Low")</f>
        <v>High</v>
      </c>
      <c r="R67" s="10" t="str">
        <f>IF(products[[#This Row],[Inventory value]]&gt;AVERAGE(O67:O166),"High","Low")</f>
        <v>High</v>
      </c>
      <c r="S67" s="10">
        <f>IF(products[[#This Row],[Inventory Val. Status]]="High",1,0)</f>
        <v>1</v>
      </c>
      <c r="T67" s="10">
        <f>IF(products[[#This Row],[Price Outliers]]="High Outlier",1,0)</f>
        <v>1</v>
      </c>
      <c r="U6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0.8</v>
      </c>
    </row>
    <row r="68" spans="1:21" x14ac:dyDescent="0.25">
      <c r="A68">
        <v>4</v>
      </c>
      <c r="B68" t="s">
        <v>29</v>
      </c>
      <c r="C68" t="s">
        <v>30</v>
      </c>
      <c r="D68" t="s">
        <v>26</v>
      </c>
      <c r="E68">
        <v>121</v>
      </c>
      <c r="F68" t="s">
        <v>14</v>
      </c>
      <c r="G68">
        <v>896</v>
      </c>
      <c r="H68">
        <v>3879177514583</v>
      </c>
      <c r="I68" t="s">
        <v>31</v>
      </c>
      <c r="J68" t="s">
        <v>32</v>
      </c>
      <c r="K68" t="s">
        <v>33</v>
      </c>
      <c r="L68">
        <v>31</v>
      </c>
      <c r="M68" t="str" cm="1">
        <f t="array" ref="M68">_xlfn.IFS(
OR(J68="XS", J68="5x7 in"), "XS",
OR(TRIM(UPPER(J68))="S", J68="Small", J68="8x10 in"), "S",
OR(J68="M", J68="Medium", J68="30x40 cm"), "M",
OR(J68="L", J68="Large", J68="50x70 cm"), "L",
OR(J68="XL", J68="Extra Large", J68="100x200 mm"), "XL",
OR(J68="XXL", J68="12x18 in"), "XXL", TRUE, "Other"
)</f>
        <v>L</v>
      </c>
      <c r="N68" t="str" cm="1">
        <f t="array" ref="N6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8">
        <f xml:space="preserve"> products[[#This Row],[Price]] * products[[#This Row],[Stock]]</f>
        <v>108416</v>
      </c>
      <c r="P68" s="8" t="str" cm="1">
        <f t="array" ref="P6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8" s="10" t="str">
        <f>IF(products[[#This Row],[Stock]] &gt; AVERAGE(G68:G167),"High","Low")</f>
        <v>High</v>
      </c>
      <c r="R68" s="10" t="str">
        <f>IF(products[[#This Row],[Inventory value]]&gt;AVERAGE(O68:O167),"High","Low")</f>
        <v>Low</v>
      </c>
      <c r="S68" s="10">
        <f>IF(products[[#This Row],[Inventory Val. Status]]="High",1,0)</f>
        <v>0</v>
      </c>
      <c r="T68" s="10">
        <f>IF(products[[#This Row],[Price Outliers]]="High Outlier",1,0)</f>
        <v>0</v>
      </c>
      <c r="U6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69" spans="1:21" x14ac:dyDescent="0.25">
      <c r="A69">
        <v>96</v>
      </c>
      <c r="B69" t="s">
        <v>327</v>
      </c>
      <c r="C69" t="s">
        <v>328</v>
      </c>
      <c r="D69" t="s">
        <v>46</v>
      </c>
      <c r="E69">
        <v>375</v>
      </c>
      <c r="F69" t="s">
        <v>14</v>
      </c>
      <c r="G69">
        <v>703</v>
      </c>
      <c r="H69">
        <v>3330396409604</v>
      </c>
      <c r="I69" t="s">
        <v>76</v>
      </c>
      <c r="J69" t="s">
        <v>22</v>
      </c>
      <c r="K69" t="s">
        <v>86</v>
      </c>
      <c r="L69">
        <v>55</v>
      </c>
      <c r="M69" t="str" cm="1">
        <f t="array" ref="M69">_xlfn.IFS(
OR(J69="XS", J69="5x7 in"), "XS",
OR(TRIM(UPPER(J69))="S", J69="Small", J69="8x10 in"), "S",
OR(J69="M", J69="Medium", J69="30x40 cm"), "M",
OR(J69="L", J69="Large", J69="50x70 cm"), "L",
OR(J69="XL", J69="Extra Large", J69="100x200 mm"), "XL",
OR(J69="XXL", J69="12x18 in"), "XXL", TRUE, "Other"
)</f>
        <v>S</v>
      </c>
      <c r="N69" t="str" cm="1">
        <f t="array" ref="N6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69">
        <f xml:space="preserve"> products[[#This Row],[Price]] * products[[#This Row],[Stock]]</f>
        <v>263625</v>
      </c>
      <c r="P69" s="8" t="str" cm="1">
        <f t="array" ref="P6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69" s="10" t="str">
        <f>IF(products[[#This Row],[Stock]] &gt; AVERAGE(G69:G168),"High","Low")</f>
        <v>High</v>
      </c>
      <c r="R69" s="10" t="str">
        <f>IF(products[[#This Row],[Inventory value]]&gt;AVERAGE(O69:O168),"High","Low")</f>
        <v>High</v>
      </c>
      <c r="S69" s="10">
        <f>IF(products[[#This Row],[Inventory Val. Status]]="High",1,0)</f>
        <v>1</v>
      </c>
      <c r="T69" s="10">
        <f>IF(products[[#This Row],[Price Outliers]]="High Outlier",1,0)</f>
        <v>0</v>
      </c>
      <c r="U6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70" spans="1:21" x14ac:dyDescent="0.25">
      <c r="A70">
        <v>7</v>
      </c>
      <c r="B70" t="s">
        <v>44</v>
      </c>
      <c r="C70" t="s">
        <v>45</v>
      </c>
      <c r="D70" t="s">
        <v>46</v>
      </c>
      <c r="E70">
        <v>68</v>
      </c>
      <c r="F70" t="s">
        <v>14</v>
      </c>
      <c r="G70">
        <v>870</v>
      </c>
      <c r="H70">
        <v>5029747624534</v>
      </c>
      <c r="I70" t="s">
        <v>47</v>
      </c>
      <c r="J70" t="s">
        <v>48</v>
      </c>
      <c r="K70" t="s">
        <v>33</v>
      </c>
      <c r="L70">
        <v>86</v>
      </c>
      <c r="M70" t="str" cm="1">
        <f t="array" ref="M70">_xlfn.IFS(
OR(J70="XS", J70="5x7 in"), "XS",
OR(TRIM(UPPER(J70))="S", J70="Small", J70="8x10 in"), "S",
OR(J70="M", J70="Medium", J70="30x40 cm"), "M",
OR(J70="L", J70="Large", J70="50x70 cm"), "L",
OR(J70="XL", J70="Extra Large", J70="100x200 mm"), "XL",
OR(J70="XXL", J70="12x18 in"), "XXL", TRUE, "Other"
)</f>
        <v>S</v>
      </c>
      <c r="N70" t="str" cm="1">
        <f t="array" ref="N7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0">
        <f xml:space="preserve"> products[[#This Row],[Price]] * products[[#This Row],[Stock]]</f>
        <v>59160</v>
      </c>
      <c r="P70" s="8" t="str" cm="1">
        <f t="array" ref="P7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70" s="10" t="str">
        <f>IF(products[[#This Row],[Stock]] &gt; AVERAGE(G70:G169),"High","Low")</f>
        <v>High</v>
      </c>
      <c r="R70" s="10" t="str">
        <f>IF(products[[#This Row],[Inventory value]]&gt;AVERAGE(O70:O169),"High","Low")</f>
        <v>Low</v>
      </c>
      <c r="S70" s="10">
        <f>IF(products[[#This Row],[Inventory Val. Status]]="High",1,0)</f>
        <v>0</v>
      </c>
      <c r="T70" s="10">
        <f>IF(products[[#This Row],[Price Outliers]]="High Outlier",1,0)</f>
        <v>0</v>
      </c>
      <c r="U7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71" spans="1:21" x14ac:dyDescent="0.25">
      <c r="A71">
        <v>90</v>
      </c>
      <c r="B71" t="s">
        <v>313</v>
      </c>
      <c r="C71" t="s">
        <v>314</v>
      </c>
      <c r="D71" t="s">
        <v>46</v>
      </c>
      <c r="E71">
        <v>541</v>
      </c>
      <c r="F71" t="s">
        <v>14</v>
      </c>
      <c r="G71">
        <v>488</v>
      </c>
      <c r="H71">
        <v>4147810179628</v>
      </c>
      <c r="I71" t="s">
        <v>238</v>
      </c>
      <c r="J71" t="s">
        <v>112</v>
      </c>
      <c r="K71" t="s">
        <v>17</v>
      </c>
      <c r="L71">
        <v>31</v>
      </c>
      <c r="M71" t="str" cm="1">
        <f t="array" ref="M71">_xlfn.IFS(
OR(J71="XS", J71="5x7 in"), "XS",
OR(TRIM(UPPER(J71))="S", J71="Small", J71="8x10 in"), "S",
OR(J71="M", J71="Medium", J71="30x40 cm"), "M",
OR(J71="L", J71="Large", J71="50x70 cm"), "L",
OR(J71="XL", J71="Extra Large", J71="100x200 mm"), "XL",
OR(J71="XXL", J71="12x18 in"), "XXL", TRUE, "Other"
)</f>
        <v>M</v>
      </c>
      <c r="N71" t="str" cm="1">
        <f t="array" ref="N7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71">
        <f xml:space="preserve"> products[[#This Row],[Price]] * products[[#This Row],[Stock]]</f>
        <v>264008</v>
      </c>
      <c r="P71" s="8" t="str" cm="1">
        <f t="array" ref="P7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1" s="10" t="str">
        <f>IF(products[[#This Row],[Stock]] &gt; AVERAGE(G71:G170),"High","Low")</f>
        <v>Low</v>
      </c>
      <c r="R71" s="10" t="str">
        <f>IF(products[[#This Row],[Inventory value]]&gt;AVERAGE(O71:O170),"High","Low")</f>
        <v>High</v>
      </c>
      <c r="S71" s="10">
        <f>IF(products[[#This Row],[Inventory Val. Status]]="High",1,0)</f>
        <v>1</v>
      </c>
      <c r="T71" s="10">
        <f>IF(products[[#This Row],[Price Outliers]]="High Outlier",1,0)</f>
        <v>0</v>
      </c>
      <c r="U7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72" spans="1:21" x14ac:dyDescent="0.25">
      <c r="A72">
        <v>81</v>
      </c>
      <c r="B72" t="s">
        <v>292</v>
      </c>
      <c r="C72" t="s">
        <v>293</v>
      </c>
      <c r="D72" t="s">
        <v>269</v>
      </c>
      <c r="E72">
        <v>367</v>
      </c>
      <c r="F72" t="s">
        <v>14</v>
      </c>
      <c r="G72">
        <v>19</v>
      </c>
      <c r="H72">
        <v>3868467036959</v>
      </c>
      <c r="I72" t="s">
        <v>294</v>
      </c>
      <c r="J72" t="s">
        <v>22</v>
      </c>
      <c r="K72" t="s">
        <v>23</v>
      </c>
      <c r="L72">
        <v>15</v>
      </c>
      <c r="M72" t="str" cm="1">
        <f t="array" ref="M72">_xlfn.IFS(
OR(J72="XS", J72="5x7 in"), "XS",
OR(TRIM(UPPER(J72))="S", J72="Small", J72="8x10 in"), "S",
OR(J72="M", J72="Medium", J72="30x40 cm"), "M",
OR(J72="L", J72="Large", J72="50x70 cm"), "L",
OR(J72="XL", J72="Extra Large", J72="100x200 mm"), "XL",
OR(J72="XXL", J72="12x18 in"), "XXL", TRUE, "Other"
)</f>
        <v>S</v>
      </c>
      <c r="N72" t="str" cm="1">
        <f t="array" ref="N7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2">
        <f xml:space="preserve"> products[[#This Row],[Price]] * products[[#This Row],[Stock]]</f>
        <v>6973</v>
      </c>
      <c r="P72" s="8" t="str" cm="1">
        <f t="array" ref="P7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2" s="10" t="str">
        <f>IF(products[[#This Row],[Stock]] &gt; AVERAGE(G72:G171),"High","Low")</f>
        <v>Low</v>
      </c>
      <c r="R72" s="10" t="str">
        <f>IF(products[[#This Row],[Inventory value]]&gt;AVERAGE(O72:O171),"High","Low")</f>
        <v>Low</v>
      </c>
      <c r="S72" s="10">
        <f>IF(products[[#This Row],[Inventory Val. Status]]="High",1,0)</f>
        <v>0</v>
      </c>
      <c r="T72" s="10">
        <f>IF(products[[#This Row],[Price Outliers]]="High Outlier",1,0)</f>
        <v>0</v>
      </c>
      <c r="U7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73" spans="1:21" x14ac:dyDescent="0.25">
      <c r="A73">
        <v>72</v>
      </c>
      <c r="B73" t="s">
        <v>267</v>
      </c>
      <c r="C73" t="s">
        <v>268</v>
      </c>
      <c r="D73" t="s">
        <v>269</v>
      </c>
      <c r="E73">
        <v>148</v>
      </c>
      <c r="F73" t="s">
        <v>14</v>
      </c>
      <c r="G73">
        <v>650</v>
      </c>
      <c r="H73">
        <v>6908065460286</v>
      </c>
      <c r="I73" t="s">
        <v>270</v>
      </c>
      <c r="J73" t="s">
        <v>112</v>
      </c>
      <c r="K73" t="s">
        <v>96</v>
      </c>
      <c r="L73">
        <v>29</v>
      </c>
      <c r="M73" t="str" cm="1">
        <f t="array" ref="M73">_xlfn.IFS(
OR(J73="XS", J73="5x7 in"), "XS",
OR(TRIM(UPPER(J73))="S", J73="Small", J73="8x10 in"), "S",
OR(J73="M", J73="Medium", J73="30x40 cm"), "M",
OR(J73="L", J73="Large", J73="50x70 cm"), "L",
OR(J73="XL", J73="Extra Large", J73="100x200 mm"), "XL",
OR(J73="XXL", J73="12x18 in"), "XXL", TRUE, "Other"
)</f>
        <v>M</v>
      </c>
      <c r="N73" t="str" cm="1">
        <f t="array" ref="N7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3">
        <f xml:space="preserve"> products[[#This Row],[Price]] * products[[#This Row],[Stock]]</f>
        <v>96200</v>
      </c>
      <c r="P73" s="8" t="str" cm="1">
        <f t="array" ref="P7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3" s="10" t="str">
        <f>IF(products[[#This Row],[Stock]] &gt; AVERAGE(G73:G172),"High","Low")</f>
        <v>High</v>
      </c>
      <c r="R73" s="10" t="str">
        <f>IF(products[[#This Row],[Inventory value]]&gt;AVERAGE(O73:O172),"High","Low")</f>
        <v>Low</v>
      </c>
      <c r="S73" s="10">
        <f>IF(products[[#This Row],[Inventory Val. Status]]="High",1,0)</f>
        <v>0</v>
      </c>
      <c r="T73" s="10">
        <f>IF(products[[#This Row],[Price Outliers]]="High Outlier",1,0)</f>
        <v>0</v>
      </c>
      <c r="U7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74" spans="1:21" x14ac:dyDescent="0.25">
      <c r="A74">
        <v>61</v>
      </c>
      <c r="B74" t="s">
        <v>236</v>
      </c>
      <c r="C74" t="s">
        <v>237</v>
      </c>
      <c r="D74" t="s">
        <v>231</v>
      </c>
      <c r="E74">
        <v>440</v>
      </c>
      <c r="F74" t="s">
        <v>14</v>
      </c>
      <c r="G74">
        <v>973</v>
      </c>
      <c r="H74">
        <v>4811928042234</v>
      </c>
      <c r="I74" t="s">
        <v>238</v>
      </c>
      <c r="J74" t="s">
        <v>56</v>
      </c>
      <c r="K74" t="s">
        <v>23</v>
      </c>
      <c r="L74">
        <v>3</v>
      </c>
      <c r="M74" t="str" cm="1">
        <f t="array" ref="M74">_xlfn.IFS(
OR(J74="XS", J74="5x7 in"), "XS",
OR(TRIM(UPPER(J74))="S", J74="Small", J74="8x10 in"), "S",
OR(J74="M", J74="Medium", J74="30x40 cm"), "M",
OR(J74="L", J74="Large", J74="50x70 cm"), "L",
OR(J74="XL", J74="Extra Large", J74="100x200 mm"), "XL",
OR(J74="XXL", J74="12x18 in"), "XXL", TRUE, "Other"
)</f>
        <v>M</v>
      </c>
      <c r="N74" t="str" cm="1">
        <f t="array" ref="N7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4">
        <f xml:space="preserve"> products[[#This Row],[Price]] * products[[#This Row],[Stock]]</f>
        <v>428120</v>
      </c>
      <c r="P74" s="8" t="str" cm="1">
        <f t="array" ref="P7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4" s="10" t="str">
        <f>IF(products[[#This Row],[Stock]] &gt; AVERAGE(G74:G173),"High","Low")</f>
        <v>High</v>
      </c>
      <c r="R74" s="10" t="str">
        <f>IF(products[[#This Row],[Inventory value]]&gt;AVERAGE(O74:O173),"High","Low")</f>
        <v>High</v>
      </c>
      <c r="S74" s="10">
        <f>IF(products[[#This Row],[Inventory Val. Status]]="High",1,0)</f>
        <v>1</v>
      </c>
      <c r="T74" s="10">
        <f>IF(products[[#This Row],[Price Outliers]]="High Outlier",1,0)</f>
        <v>0</v>
      </c>
      <c r="U7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75" spans="1:21" x14ac:dyDescent="0.25">
      <c r="A75">
        <v>59</v>
      </c>
      <c r="B75" t="s">
        <v>229</v>
      </c>
      <c r="C75" t="s">
        <v>230</v>
      </c>
      <c r="D75" t="s">
        <v>231</v>
      </c>
      <c r="E75">
        <v>489</v>
      </c>
      <c r="F75" t="s">
        <v>14</v>
      </c>
      <c r="G75">
        <v>423</v>
      </c>
      <c r="H75">
        <v>2567562782853</v>
      </c>
      <c r="I75" t="s">
        <v>232</v>
      </c>
      <c r="J75" t="s">
        <v>172</v>
      </c>
      <c r="K75" t="s">
        <v>17</v>
      </c>
      <c r="L75">
        <v>99</v>
      </c>
      <c r="M75" t="str" cm="1">
        <f t="array" ref="M75">_xlfn.IFS(
OR(J75="XS", J75="5x7 in"), "XS",
OR(TRIM(UPPER(J75))="S", J75="Small", J75="8x10 in"), "S",
OR(J75="M", J75="Medium", J75="30x40 cm"), "M",
OR(J75="L", J75="Large", J75="50x70 cm"), "L",
OR(J75="XL", J75="Extra Large", J75="100x200 mm"), "XL",
OR(J75="XXL", J75="12x18 in"), "XXL", TRUE, "Other"
)</f>
        <v>S</v>
      </c>
      <c r="N75" t="str" cm="1">
        <f t="array" ref="N7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5">
        <f xml:space="preserve"> products[[#This Row],[Price]] * products[[#This Row],[Stock]]</f>
        <v>206847</v>
      </c>
      <c r="P75" s="8" t="str" cm="1">
        <f t="array" ref="P7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5" s="10" t="str">
        <f>IF(products[[#This Row],[Stock]] &gt; AVERAGE(G75:G174),"High","Low")</f>
        <v>Low</v>
      </c>
      <c r="R75" s="10" t="str">
        <f>IF(products[[#This Row],[Inventory value]]&gt;AVERAGE(O75:O174),"High","Low")</f>
        <v>Low</v>
      </c>
      <c r="S75" s="10">
        <f>IF(products[[#This Row],[Inventory Val. Status]]="High",1,0)</f>
        <v>0</v>
      </c>
      <c r="T75" s="10">
        <f>IF(products[[#This Row],[Price Outliers]]="High Outlier",1,0)</f>
        <v>0</v>
      </c>
      <c r="U7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76" spans="1:21" x14ac:dyDescent="0.25">
      <c r="A76">
        <v>42</v>
      </c>
      <c r="B76" t="s">
        <v>176</v>
      </c>
      <c r="C76" t="s">
        <v>177</v>
      </c>
      <c r="D76" t="s">
        <v>178</v>
      </c>
      <c r="E76">
        <v>999</v>
      </c>
      <c r="F76" t="s">
        <v>14</v>
      </c>
      <c r="G76">
        <v>853</v>
      </c>
      <c r="H76">
        <v>450118214736</v>
      </c>
      <c r="I76" t="s">
        <v>52</v>
      </c>
      <c r="J76" t="s">
        <v>179</v>
      </c>
      <c r="K76" t="s">
        <v>17</v>
      </c>
      <c r="L76">
        <v>23</v>
      </c>
      <c r="M76" t="str" cm="1">
        <f t="array" ref="M76">_xlfn.IFS(
OR(J76="XS", J76="5x7 in"), "XS",
OR(TRIM(UPPER(J76))="S", J76="Small", J76="8x10 in"), "S",
OR(J76="M", J76="Medium", J76="30x40 cm"), "M",
OR(J76="L", J76="Large", J76="50x70 cm"), "L",
OR(J76="XL", J76="Extra Large", J76="100x200 mm"), "XL",
OR(J76="XXL", J76="12x18 in"), "XXL", TRUE, "Other"
)</f>
        <v>XXL</v>
      </c>
      <c r="N76" t="str" cm="1">
        <f t="array" ref="N7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76">
        <f xml:space="preserve"> products[[#This Row],[Price]] * products[[#This Row],[Stock]]</f>
        <v>852147</v>
      </c>
      <c r="P76" s="8" t="str" cm="1">
        <f t="array" ref="P7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76" s="10" t="str">
        <f>IF(products[[#This Row],[Stock]] &gt; AVERAGE(G76:G175),"High","Low")</f>
        <v>High</v>
      </c>
      <c r="R76" s="10" t="str">
        <f>IF(products[[#This Row],[Inventory value]]&gt;AVERAGE(O76:O175),"High","Low")</f>
        <v>High</v>
      </c>
      <c r="S76" s="10">
        <f>IF(products[[#This Row],[Inventory Val. Status]]="High",1,0)</f>
        <v>1</v>
      </c>
      <c r="T76" s="10">
        <f>IF(products[[#This Row],[Price Outliers]]="High Outlier",1,0)</f>
        <v>1</v>
      </c>
      <c r="U7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1</v>
      </c>
    </row>
    <row r="77" spans="1:21" x14ac:dyDescent="0.25">
      <c r="A77">
        <v>49</v>
      </c>
      <c r="B77" t="s">
        <v>199</v>
      </c>
      <c r="C77" t="s">
        <v>200</v>
      </c>
      <c r="D77" t="s">
        <v>178</v>
      </c>
      <c r="E77">
        <v>511</v>
      </c>
      <c r="F77" t="s">
        <v>14</v>
      </c>
      <c r="G77">
        <v>395</v>
      </c>
      <c r="H77">
        <v>5461960384619</v>
      </c>
      <c r="I77" t="s">
        <v>201</v>
      </c>
      <c r="J77" t="s">
        <v>90</v>
      </c>
      <c r="K77" t="s">
        <v>33</v>
      </c>
      <c r="L77">
        <v>14</v>
      </c>
      <c r="M77" t="str" cm="1">
        <f t="array" ref="M77">_xlfn.IFS(
OR(J77="XS", J77="5x7 in"), "XS",
OR(TRIM(UPPER(J77))="S", J77="Small", J77="8x10 in"), "S",
OR(J77="M", J77="Medium", J77="30x40 cm"), "M",
OR(J77="L", J77="Large", J77="50x70 cm"), "L",
OR(J77="XL", J77="Extra Large", J77="100x200 mm"), "XL",
OR(J77="XXL", J77="12x18 in"), "XXL", TRUE, "Other"
)</f>
        <v>XL</v>
      </c>
      <c r="N77" t="str" cm="1">
        <f t="array" ref="N7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7">
        <f xml:space="preserve"> products[[#This Row],[Price]] * products[[#This Row],[Stock]]</f>
        <v>201845</v>
      </c>
      <c r="P77" s="8" t="str" cm="1">
        <f t="array" ref="P7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7" s="10" t="str">
        <f>IF(products[[#This Row],[Stock]] &gt; AVERAGE(G77:G176),"High","Low")</f>
        <v>Low</v>
      </c>
      <c r="R77" s="10" t="str">
        <f>IF(products[[#This Row],[Inventory value]]&gt;AVERAGE(O77:O176),"High","Low")</f>
        <v>Low</v>
      </c>
      <c r="S77" s="10">
        <f>IF(products[[#This Row],[Inventory Val. Status]]="High",1,0)</f>
        <v>0</v>
      </c>
      <c r="T77" s="10">
        <f>IF(products[[#This Row],[Price Outliers]]="High Outlier",1,0)</f>
        <v>0</v>
      </c>
      <c r="U7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78" spans="1:21" x14ac:dyDescent="0.25">
      <c r="A78">
        <v>56</v>
      </c>
      <c r="B78" t="s">
        <v>220</v>
      </c>
      <c r="C78" t="s">
        <v>221</v>
      </c>
      <c r="D78" t="s">
        <v>178</v>
      </c>
      <c r="E78">
        <v>224</v>
      </c>
      <c r="F78" t="s">
        <v>14</v>
      </c>
      <c r="G78">
        <v>372</v>
      </c>
      <c r="H78">
        <v>983367163970</v>
      </c>
      <c r="I78" t="s">
        <v>222</v>
      </c>
      <c r="J78" t="s">
        <v>131</v>
      </c>
      <c r="K78" t="s">
        <v>33</v>
      </c>
      <c r="L78">
        <v>56</v>
      </c>
      <c r="M78" t="str" cm="1">
        <f t="array" ref="M78">_xlfn.IFS(
OR(J78="XS", J78="5x7 in"), "XS",
OR(TRIM(UPPER(J78))="S", J78="Small", J78="8x10 in"), "S",
OR(J78="M", J78="Medium", J78="30x40 cm"), "M",
OR(J78="L", J78="Large", J78="50x70 cm"), "L",
OR(J78="XL", J78="Extra Large", J78="100x200 mm"), "XL",
OR(J78="XXL", J78="12x18 in"), "XXL", TRUE, "Other"
)</f>
        <v>L</v>
      </c>
      <c r="N78" t="str" cm="1">
        <f t="array" ref="N7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8">
        <f xml:space="preserve"> products[[#This Row],[Price]] * products[[#This Row],[Stock]]</f>
        <v>83328</v>
      </c>
      <c r="P78" s="8" t="str" cm="1">
        <f t="array" ref="P7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8" s="10" t="str">
        <f>IF(products[[#This Row],[Stock]] &gt; AVERAGE(G78:G177),"High","Low")</f>
        <v>Low</v>
      </c>
      <c r="R78" s="10" t="str">
        <f>IF(products[[#This Row],[Inventory value]]&gt;AVERAGE(O78:O177),"High","Low")</f>
        <v>Low</v>
      </c>
      <c r="S78" s="10">
        <f>IF(products[[#This Row],[Inventory Val. Status]]="High",1,0)</f>
        <v>0</v>
      </c>
      <c r="T78" s="10">
        <f>IF(products[[#This Row],[Price Outliers]]="High Outlier",1,0)</f>
        <v>0</v>
      </c>
      <c r="U7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79" spans="1:21" x14ac:dyDescent="0.25">
      <c r="A79">
        <v>64</v>
      </c>
      <c r="B79" t="s">
        <v>244</v>
      </c>
      <c r="C79" t="s">
        <v>245</v>
      </c>
      <c r="D79" t="s">
        <v>178</v>
      </c>
      <c r="E79">
        <v>489</v>
      </c>
      <c r="F79" t="s">
        <v>14</v>
      </c>
      <c r="G79">
        <v>561</v>
      </c>
      <c r="H79">
        <v>6474143371206</v>
      </c>
      <c r="I79" t="s">
        <v>246</v>
      </c>
      <c r="J79" t="s">
        <v>48</v>
      </c>
      <c r="K79" t="s">
        <v>17</v>
      </c>
      <c r="L79">
        <v>48</v>
      </c>
      <c r="M79" t="str" cm="1">
        <f t="array" ref="M79">_xlfn.IFS(
OR(J79="XS", J79="5x7 in"), "XS",
OR(TRIM(UPPER(J79))="S", J79="Small", J79="8x10 in"), "S",
OR(J79="M", J79="Medium", J79="30x40 cm"), "M",
OR(J79="L", J79="Large", J79="50x70 cm"), "L",
OR(J79="XL", J79="Extra Large", J79="100x200 mm"), "XL",
OR(J79="XXL", J79="12x18 in"), "XXL", TRUE, "Other"
)</f>
        <v>S</v>
      </c>
      <c r="N79" t="str" cm="1">
        <f t="array" ref="N7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79">
        <f xml:space="preserve"> products[[#This Row],[Price]] * products[[#This Row],[Stock]]</f>
        <v>274329</v>
      </c>
      <c r="P79" s="8" t="str" cm="1">
        <f t="array" ref="P7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79" s="10" t="str">
        <f>IF(products[[#This Row],[Stock]] &gt; AVERAGE(G79:G178),"High","Low")</f>
        <v>High</v>
      </c>
      <c r="R79" s="10" t="str">
        <f>IF(products[[#This Row],[Inventory value]]&gt;AVERAGE(O79:O178),"High","Low")</f>
        <v>High</v>
      </c>
      <c r="S79" s="10">
        <f>IF(products[[#This Row],[Inventory Val. Status]]="High",1,0)</f>
        <v>1</v>
      </c>
      <c r="T79" s="10">
        <f>IF(products[[#This Row],[Price Outliers]]="High Outlier",1,0)</f>
        <v>0</v>
      </c>
      <c r="U7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0.79999999999999993</v>
      </c>
    </row>
    <row r="80" spans="1:21" x14ac:dyDescent="0.25">
      <c r="A80">
        <v>83</v>
      </c>
      <c r="B80" t="s">
        <v>298</v>
      </c>
      <c r="C80" t="s">
        <v>299</v>
      </c>
      <c r="D80" t="s">
        <v>178</v>
      </c>
      <c r="E80">
        <v>103</v>
      </c>
      <c r="F80" t="s">
        <v>14</v>
      </c>
      <c r="G80">
        <v>208</v>
      </c>
      <c r="H80">
        <v>5328785590239</v>
      </c>
      <c r="I80" t="s">
        <v>212</v>
      </c>
      <c r="J80" t="s">
        <v>61</v>
      </c>
      <c r="K80" t="s">
        <v>96</v>
      </c>
      <c r="L80">
        <v>72</v>
      </c>
      <c r="M80" t="str" cm="1">
        <f t="array" ref="M80">_xlfn.IFS(
OR(J80="XS", J80="5x7 in"), "XS",
OR(TRIM(UPPER(J80))="S", J80="Small", J80="8x10 in"), "S",
OR(J80="M", J80="Medium", J80="30x40 cm"), "M",
OR(J80="L", J80="Large", J80="50x70 cm"), "L",
OR(J80="XL", J80="Extra Large", J80="100x200 mm"), "XL",
OR(J80="XXL", J80="12x18 in"), "XXL", TRUE, "Other"
)</f>
        <v>XL</v>
      </c>
      <c r="N80" t="str" cm="1">
        <f t="array" ref="N8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80">
        <f xml:space="preserve"> products[[#This Row],[Price]] * products[[#This Row],[Stock]]</f>
        <v>21424</v>
      </c>
      <c r="P80" s="8" t="str" cm="1">
        <f t="array" ref="P8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80" s="10" t="str">
        <f>IF(products[[#This Row],[Stock]] &gt; AVERAGE(G80:G179),"High","Low")</f>
        <v>Low</v>
      </c>
      <c r="R80" s="10" t="str">
        <f>IF(products[[#This Row],[Inventory value]]&gt;AVERAGE(O80:O179),"High","Low")</f>
        <v>Low</v>
      </c>
      <c r="S80" s="10">
        <f>IF(products[[#This Row],[Inventory Val. Status]]="High",1,0)</f>
        <v>0</v>
      </c>
      <c r="T80" s="10">
        <f>IF(products[[#This Row],[Price Outliers]]="High Outlier",1,0)</f>
        <v>0</v>
      </c>
      <c r="U8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0.4</v>
      </c>
    </row>
    <row r="81" spans="1:21" x14ac:dyDescent="0.25">
      <c r="A81">
        <v>2</v>
      </c>
      <c r="B81" t="s">
        <v>18</v>
      </c>
      <c r="C81" t="s">
        <v>19</v>
      </c>
      <c r="D81" t="s">
        <v>20</v>
      </c>
      <c r="E81">
        <v>502</v>
      </c>
      <c r="F81" t="s">
        <v>14</v>
      </c>
      <c r="G81">
        <v>81</v>
      </c>
      <c r="H81">
        <v>5286196620740</v>
      </c>
      <c r="I81" t="s">
        <v>21</v>
      </c>
      <c r="J81" t="s">
        <v>22</v>
      </c>
      <c r="K81" t="s">
        <v>23</v>
      </c>
      <c r="L81">
        <v>29</v>
      </c>
      <c r="M81" t="str" cm="1">
        <f t="array" ref="M81">_xlfn.IFS(
OR(J81="XS", J81="5x7 in"), "XS",
OR(TRIM(UPPER(J81))="S", J81="Small", J81="8x10 in"), "S",
OR(J81="M", J81="Medium", J81="30x40 cm"), "M",
OR(J81="L", J81="Large", J81="50x70 cm"), "L",
OR(J81="XL", J81="Extra Large", J81="100x200 mm"), "XL",
OR(J81="XXL", J81="12x18 in"), "XXL", TRUE, "Other"
)</f>
        <v>S</v>
      </c>
      <c r="N81" t="str" cm="1">
        <f t="array" ref="N8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1">
        <f xml:space="preserve"> products[[#This Row],[Price]] * products[[#This Row],[Stock]]</f>
        <v>40662</v>
      </c>
      <c r="P81" s="8" t="str" cm="1">
        <f t="array" ref="P8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1" s="10" t="str">
        <f>IF(products[[#This Row],[Stock]] &gt; AVERAGE(G81:G180),"High","Low")</f>
        <v>Low</v>
      </c>
      <c r="R81" s="10" t="str">
        <f>IF(products[[#This Row],[Inventory value]]&gt;AVERAGE(O81:O180),"High","Low")</f>
        <v>Low</v>
      </c>
      <c r="S81" s="10">
        <f>IF(products[[#This Row],[Inventory Val. Status]]="High",1,0)</f>
        <v>0</v>
      </c>
      <c r="T81" s="10">
        <f>IF(products[[#This Row],[Price Outliers]]="High Outlier",1,0)</f>
        <v>0</v>
      </c>
      <c r="U8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82" spans="1:21" x14ac:dyDescent="0.25">
      <c r="A82">
        <v>35</v>
      </c>
      <c r="B82" t="s">
        <v>153</v>
      </c>
      <c r="C82" t="s">
        <v>154</v>
      </c>
      <c r="D82" t="s">
        <v>20</v>
      </c>
      <c r="E82">
        <v>480</v>
      </c>
      <c r="F82" t="s">
        <v>14</v>
      </c>
      <c r="G82">
        <v>364</v>
      </c>
      <c r="H82">
        <v>6209821998907</v>
      </c>
      <c r="I82" t="s">
        <v>155</v>
      </c>
      <c r="J82" t="s">
        <v>61</v>
      </c>
      <c r="K82" t="s">
        <v>33</v>
      </c>
      <c r="L82">
        <v>78</v>
      </c>
      <c r="M82" t="str" cm="1">
        <f t="array" ref="M82">_xlfn.IFS(
OR(J82="XS", J82="5x7 in"), "XS",
OR(TRIM(UPPER(J82))="S", J82="Small", J82="8x10 in"), "S",
OR(J82="M", J82="Medium", J82="30x40 cm"), "M",
OR(J82="L", J82="Large", J82="50x70 cm"), "L",
OR(J82="XL", J82="Extra Large", J82="100x200 mm"), "XL",
OR(J82="XXL", J82="12x18 in"), "XXL", TRUE, "Other"
)</f>
        <v>XL</v>
      </c>
      <c r="N82" t="str" cm="1">
        <f t="array" ref="N8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2">
        <f xml:space="preserve"> products[[#This Row],[Price]] * products[[#This Row],[Stock]]</f>
        <v>174720</v>
      </c>
      <c r="P82" s="8" t="str" cm="1">
        <f t="array" ref="P8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2" s="10" t="str">
        <f>IF(products[[#This Row],[Stock]] &gt; AVERAGE(G82:G181),"High","Low")</f>
        <v>Low</v>
      </c>
      <c r="R82" s="10" t="str">
        <f>IF(products[[#This Row],[Inventory value]]&gt;AVERAGE(O82:O181),"High","Low")</f>
        <v>Low</v>
      </c>
      <c r="S82" s="10">
        <f>IF(products[[#This Row],[Inventory Val. Status]]="High",1,0)</f>
        <v>0</v>
      </c>
      <c r="T82" s="10">
        <f>IF(products[[#This Row],[Price Outliers]]="High Outlier",1,0)</f>
        <v>0</v>
      </c>
      <c r="U8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83" spans="1:21" x14ac:dyDescent="0.25">
      <c r="A83">
        <v>6</v>
      </c>
      <c r="B83" t="s">
        <v>39</v>
      </c>
      <c r="C83" t="s">
        <v>40</v>
      </c>
      <c r="D83" t="s">
        <v>41</v>
      </c>
      <c r="E83">
        <v>426</v>
      </c>
      <c r="F83" t="s">
        <v>14</v>
      </c>
      <c r="G83">
        <v>549</v>
      </c>
      <c r="H83">
        <v>1150028980156</v>
      </c>
      <c r="I83" t="s">
        <v>42</v>
      </c>
      <c r="J83" t="s">
        <v>43</v>
      </c>
      <c r="K83" t="s">
        <v>17</v>
      </c>
      <c r="L83">
        <v>60</v>
      </c>
      <c r="M83" t="str" cm="1">
        <f t="array" ref="M83">_xlfn.IFS(
OR(J83="XS", J83="5x7 in"), "XS",
OR(TRIM(UPPER(J83))="S", J83="Small", J83="8x10 in"), "S",
OR(J83="M", J83="Medium", J83="30x40 cm"), "M",
OR(J83="L", J83="Large", J83="50x70 cm"), "L",
OR(J83="XL", J83="Extra Large", J83="100x200 mm"), "XL",
OR(J83="XXL", J83="12x18 in"), "XXL", TRUE, "Other"
)</f>
        <v>M</v>
      </c>
      <c r="N83" t="str" cm="1">
        <f t="array" ref="N8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3">
        <f xml:space="preserve"> products[[#This Row],[Price]] * products[[#This Row],[Stock]]</f>
        <v>233874</v>
      </c>
      <c r="P83" s="8" t="str" cm="1">
        <f t="array" ref="P8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3" s="10" t="str">
        <f>IF(products[[#This Row],[Stock]] &gt; AVERAGE(G83:G182),"High","Low")</f>
        <v>High</v>
      </c>
      <c r="R83" s="10" t="str">
        <f>IF(products[[#This Row],[Inventory value]]&gt;AVERAGE(O83:O182),"High","Low")</f>
        <v>Low</v>
      </c>
      <c r="S83" s="10">
        <f>IF(products[[#This Row],[Inventory Val. Status]]="High",1,0)</f>
        <v>0</v>
      </c>
      <c r="T83" s="10">
        <f>IF(products[[#This Row],[Price Outliers]]="High Outlier",1,0)</f>
        <v>0</v>
      </c>
      <c r="U8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row>
    <row r="84" spans="1:21" x14ac:dyDescent="0.25">
      <c r="A84">
        <v>9</v>
      </c>
      <c r="B84" t="s">
        <v>53</v>
      </c>
      <c r="C84" t="s">
        <v>54</v>
      </c>
      <c r="D84" t="s">
        <v>41</v>
      </c>
      <c r="E84">
        <v>454</v>
      </c>
      <c r="F84" t="s">
        <v>14</v>
      </c>
      <c r="G84">
        <v>499</v>
      </c>
      <c r="H84">
        <v>1773215338624</v>
      </c>
      <c r="I84" t="s">
        <v>55</v>
      </c>
      <c r="J84" t="s">
        <v>56</v>
      </c>
      <c r="K84" t="s">
        <v>17</v>
      </c>
      <c r="L84">
        <v>88</v>
      </c>
      <c r="M84" t="str" cm="1">
        <f t="array" ref="M84">_xlfn.IFS(
OR(J84="XS", J84="5x7 in"), "XS",
OR(TRIM(UPPER(J84))="S", J84="Small", J84="8x10 in"), "S",
OR(J84="M", J84="Medium", J84="30x40 cm"), "M",
OR(J84="L", J84="Large", J84="50x70 cm"), "L",
OR(J84="XL", J84="Extra Large", J84="100x200 mm"), "XL",
OR(J84="XXL", J84="12x18 in"), "XXL", TRUE, "Other"
)</f>
        <v>M</v>
      </c>
      <c r="N84" t="str" cm="1">
        <f t="array" ref="N8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84">
        <f xml:space="preserve"> products[[#This Row],[Price]] * products[[#This Row],[Stock]]</f>
        <v>226546</v>
      </c>
      <c r="P84" s="8" t="str" cm="1">
        <f t="array" ref="P8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4" s="10" t="str">
        <f>IF(products[[#This Row],[Stock]] &gt; AVERAGE(G84:G183),"High","Low")</f>
        <v>Low</v>
      </c>
      <c r="R84" s="10" t="str">
        <f>IF(products[[#This Row],[Inventory value]]&gt;AVERAGE(O84:O183),"High","Low")</f>
        <v>Low</v>
      </c>
      <c r="S84" s="10">
        <f>IF(products[[#This Row],[Inventory Val. Status]]="High",1,0)</f>
        <v>0</v>
      </c>
      <c r="T84" s="10">
        <f>IF(products[[#This Row],[Price Outliers]]="High Outlier",1,0)</f>
        <v>0</v>
      </c>
      <c r="U8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v>
      </c>
    </row>
    <row r="85" spans="1:21" x14ac:dyDescent="0.25">
      <c r="A85">
        <v>23</v>
      </c>
      <c r="B85" t="s">
        <v>113</v>
      </c>
      <c r="C85" t="s">
        <v>114</v>
      </c>
      <c r="D85" t="s">
        <v>41</v>
      </c>
      <c r="E85">
        <v>664</v>
      </c>
      <c r="F85" t="s">
        <v>14</v>
      </c>
      <c r="G85">
        <v>577</v>
      </c>
      <c r="H85">
        <v>1824359393441</v>
      </c>
      <c r="I85" t="s">
        <v>115</v>
      </c>
      <c r="J85" t="s">
        <v>32</v>
      </c>
      <c r="K85" t="s">
        <v>17</v>
      </c>
      <c r="L85">
        <v>26</v>
      </c>
      <c r="M85" t="str" cm="1">
        <f t="array" ref="M85">_xlfn.IFS(
OR(J85="XS", J85="5x7 in"), "XS",
OR(TRIM(UPPER(J85))="S", J85="Small", J85="8x10 in"), "S",
OR(J85="M", J85="Medium", J85="30x40 cm"), "M",
OR(J85="L", J85="Large", J85="50x70 cm"), "L",
OR(J85="XL", J85="Extra Large", J85="100x200 mm"), "XL",
OR(J85="XXL", J85="12x18 in"), "XXL", TRUE, "Other"
)</f>
        <v>L</v>
      </c>
      <c r="N85" t="str" cm="1">
        <f t="array" ref="N8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5">
        <f xml:space="preserve"> products[[#This Row],[Price]] * products[[#This Row],[Stock]]</f>
        <v>383128</v>
      </c>
      <c r="P85" s="8" t="str" cm="1">
        <f t="array" ref="P8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85" s="10" t="str">
        <f>IF(products[[#This Row],[Stock]] &gt; AVERAGE(G85:G184),"High","Low")</f>
        <v>High</v>
      </c>
      <c r="R85" s="10" t="str">
        <f>IF(products[[#This Row],[Inventory value]]&gt;AVERAGE(O85:O184),"High","Low")</f>
        <v>High</v>
      </c>
      <c r="S85" s="10">
        <f>IF(products[[#This Row],[Inventory Val. Status]]="High",1,0)</f>
        <v>1</v>
      </c>
      <c r="T85" s="10">
        <f>IF(products[[#This Row],[Price Outliers]]="High Outlier",1,0)</f>
        <v>1</v>
      </c>
      <c r="U8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0.60000000000000009</v>
      </c>
    </row>
    <row r="86" spans="1:21" x14ac:dyDescent="0.25">
      <c r="A86">
        <v>33</v>
      </c>
      <c r="B86" t="s">
        <v>147</v>
      </c>
      <c r="C86" t="s">
        <v>148</v>
      </c>
      <c r="D86" t="s">
        <v>102</v>
      </c>
      <c r="E86">
        <v>904</v>
      </c>
      <c r="F86" t="s">
        <v>14</v>
      </c>
      <c r="G86">
        <v>532</v>
      </c>
      <c r="H86">
        <v>7107438924403</v>
      </c>
      <c r="I86" t="s">
        <v>149</v>
      </c>
      <c r="J86" t="s">
        <v>61</v>
      </c>
      <c r="K86" t="s">
        <v>86</v>
      </c>
      <c r="L86">
        <v>86</v>
      </c>
      <c r="M86" t="str" cm="1">
        <f t="array" ref="M86">_xlfn.IFS(
OR(J86="XS", J86="5x7 in"), "XS",
OR(TRIM(UPPER(J86))="S", J86="Small", J86="8x10 in"), "S",
OR(J86="M", J86="Medium", J86="30x40 cm"), "M",
OR(J86="L", J86="Large", J86="50x70 cm"), "L",
OR(J86="XL", J86="Extra Large", J86="100x200 mm"), "XL",
OR(J86="XXL", J86="12x18 in"), "XXL", TRUE, "Other"
)</f>
        <v>XL</v>
      </c>
      <c r="N86" t="str" cm="1">
        <f t="array" ref="N8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6">
        <f xml:space="preserve"> products[[#This Row],[Price]] * products[[#This Row],[Stock]]</f>
        <v>480928</v>
      </c>
      <c r="P86" s="8" t="str" cm="1">
        <f t="array" ref="P8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86" s="10" t="str">
        <f>IF(products[[#This Row],[Stock]] &gt; AVERAGE(G86:G185),"High","Low")</f>
        <v>High</v>
      </c>
      <c r="R86" s="10" t="str">
        <f>IF(products[[#This Row],[Inventory value]]&gt;AVERAGE(O86:O185),"High","Low")</f>
        <v>High</v>
      </c>
      <c r="S86" s="10">
        <f>IF(products[[#This Row],[Inventory Val. Status]]="High",1,0)</f>
        <v>1</v>
      </c>
      <c r="T86" s="10">
        <f>IF(products[[#This Row],[Price Outliers]]="High Outlier",1,0)</f>
        <v>1</v>
      </c>
      <c r="U8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0.8</v>
      </c>
    </row>
    <row r="87" spans="1:21" x14ac:dyDescent="0.25">
      <c r="A87">
        <v>65</v>
      </c>
      <c r="B87" t="s">
        <v>247</v>
      </c>
      <c r="C87" t="s">
        <v>248</v>
      </c>
      <c r="D87" t="s">
        <v>102</v>
      </c>
      <c r="E87">
        <v>130</v>
      </c>
      <c r="F87" t="s">
        <v>14</v>
      </c>
      <c r="G87">
        <v>876</v>
      </c>
      <c r="H87">
        <v>4089415274929</v>
      </c>
      <c r="I87" t="s">
        <v>138</v>
      </c>
      <c r="J87" t="s">
        <v>85</v>
      </c>
      <c r="K87" t="s">
        <v>23</v>
      </c>
      <c r="L87">
        <v>76</v>
      </c>
      <c r="M87" t="str" cm="1">
        <f t="array" ref="M87">_xlfn.IFS(
OR(J87="XS", J87="5x7 in"), "XS",
OR(TRIM(UPPER(J87))="S", J87="Small", J87="8x10 in"), "S",
OR(J87="M", J87="Medium", J87="30x40 cm"), "M",
OR(J87="L", J87="Large", J87="50x70 cm"), "L",
OR(J87="XL", J87="Extra Large", J87="100x200 mm"), "XL",
OR(J87="XXL", J87="12x18 in"), "XXL", TRUE, "Other"
)</f>
        <v>XS</v>
      </c>
      <c r="N87" t="str" cm="1">
        <f t="array" ref="N8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7">
        <f xml:space="preserve"> products[[#This Row],[Price]] * products[[#This Row],[Stock]]</f>
        <v>113880</v>
      </c>
      <c r="P87" s="8" t="str" cm="1">
        <f t="array" ref="P8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7" s="10" t="str">
        <f>IF(products[[#This Row],[Stock]] &gt; AVERAGE(G87:G186),"High","Low")</f>
        <v>High</v>
      </c>
      <c r="R87" s="10" t="str">
        <f>IF(products[[#This Row],[Inventory value]]&gt;AVERAGE(O87:O186),"High","Low")</f>
        <v>Low</v>
      </c>
      <c r="S87" s="10">
        <f>IF(products[[#This Row],[Inventory Val. Status]]="High",1,0)</f>
        <v>0</v>
      </c>
      <c r="T87" s="10">
        <f>IF(products[[#This Row],[Price Outliers]]="High Outlier",1,0)</f>
        <v>0</v>
      </c>
      <c r="U8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88" spans="1:21" x14ac:dyDescent="0.25">
      <c r="A88">
        <v>20</v>
      </c>
      <c r="B88" t="s">
        <v>100</v>
      </c>
      <c r="C88" t="s">
        <v>101</v>
      </c>
      <c r="D88" t="s">
        <v>102</v>
      </c>
      <c r="E88">
        <v>529</v>
      </c>
      <c r="F88" t="s">
        <v>14</v>
      </c>
      <c r="G88">
        <v>844</v>
      </c>
      <c r="H88">
        <v>267078141619</v>
      </c>
      <c r="I88" t="s">
        <v>103</v>
      </c>
      <c r="J88" t="s">
        <v>28</v>
      </c>
      <c r="K88" t="s">
        <v>96</v>
      </c>
      <c r="L88">
        <v>22</v>
      </c>
      <c r="M88" t="str" cm="1">
        <f t="array" ref="M88">_xlfn.IFS(
OR(J88="XS", J88="5x7 in"), "XS",
OR(TRIM(UPPER(J88))="S", J88="Small", J88="8x10 in"), "S",
OR(J88="M", J88="Medium", J88="30x40 cm"), "M",
OR(J88="L", J88="Large", J88="50x70 cm"), "L",
OR(J88="XL", J88="Extra Large", J88="100x200 mm"), "XL",
OR(J88="XXL", J88="12x18 in"), "XXL", TRUE, "Other"
)</f>
        <v>XS</v>
      </c>
      <c r="N88" t="str" cm="1">
        <f t="array" ref="N8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88">
        <f xml:space="preserve"> products[[#This Row],[Price]] * products[[#This Row],[Stock]]</f>
        <v>446476</v>
      </c>
      <c r="P88" s="8" t="str" cm="1">
        <f t="array" ref="P8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8" s="10" t="str">
        <f>IF(products[[#This Row],[Stock]] &gt; AVERAGE(G88:G187),"High","Low")</f>
        <v>High</v>
      </c>
      <c r="R88" s="10" t="str">
        <f>IF(products[[#This Row],[Inventory value]]&gt;AVERAGE(O88:O187),"High","Low")</f>
        <v>High</v>
      </c>
      <c r="S88" s="10">
        <f>IF(products[[#This Row],[Inventory Val. Status]]="High",1,0)</f>
        <v>1</v>
      </c>
      <c r="T88" s="10">
        <f>IF(products[[#This Row],[Price Outliers]]="High Outlier",1,0)</f>
        <v>0</v>
      </c>
      <c r="U8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89" spans="1:21" x14ac:dyDescent="0.25">
      <c r="A89">
        <v>37</v>
      </c>
      <c r="B89" t="s">
        <v>159</v>
      </c>
      <c r="C89" t="s">
        <v>160</v>
      </c>
      <c r="D89" t="s">
        <v>102</v>
      </c>
      <c r="E89">
        <v>234</v>
      </c>
      <c r="F89" t="s">
        <v>14</v>
      </c>
      <c r="G89">
        <v>394</v>
      </c>
      <c r="H89">
        <v>7670612815694</v>
      </c>
      <c r="I89" t="s">
        <v>161</v>
      </c>
      <c r="J89" t="s">
        <v>95</v>
      </c>
      <c r="K89" t="s">
        <v>96</v>
      </c>
      <c r="L89">
        <v>48</v>
      </c>
      <c r="M89" t="str" cm="1">
        <f t="array" ref="M89">_xlfn.IFS(
OR(J89="XS", J89="5x7 in"), "XS",
OR(TRIM(UPPER(J89))="S", J89="Small", J89="8x10 in"), "S",
OR(J89="M", J89="Medium", J89="30x40 cm"), "M",
OR(J89="L", J89="Large", J89="50x70 cm"), "L",
OR(J89="XL", J89="Extra Large", J89="100x200 mm"), "XL",
OR(J89="XXL", J89="12x18 in"), "XXL", TRUE, "Other"
)</f>
        <v>Other</v>
      </c>
      <c r="N89" t="str" cm="1">
        <f t="array" ref="N8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89">
        <f xml:space="preserve"> products[[#This Row],[Price]] * products[[#This Row],[Stock]]</f>
        <v>92196</v>
      </c>
      <c r="P89" s="8" t="str" cm="1">
        <f t="array" ref="P8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89" s="10" t="str">
        <f>IF(products[[#This Row],[Stock]] &gt; AVERAGE(G89:G188),"High","Low")</f>
        <v>Low</v>
      </c>
      <c r="R89" s="10" t="str">
        <f>IF(products[[#This Row],[Inventory value]]&gt;AVERAGE(O89:O188),"High","Low")</f>
        <v>Low</v>
      </c>
      <c r="S89" s="10">
        <f>IF(products[[#This Row],[Inventory Val. Status]]="High",1,0)</f>
        <v>0</v>
      </c>
      <c r="T89" s="10">
        <f>IF(products[[#This Row],[Price Outliers]]="High Outlier",1,0)</f>
        <v>0</v>
      </c>
      <c r="U8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0" spans="1:21" x14ac:dyDescent="0.25">
      <c r="A90">
        <v>70</v>
      </c>
      <c r="B90" t="s">
        <v>260</v>
      </c>
      <c r="C90" t="s">
        <v>261</v>
      </c>
      <c r="D90" t="s">
        <v>262</v>
      </c>
      <c r="E90">
        <v>5</v>
      </c>
      <c r="F90" t="s">
        <v>14</v>
      </c>
      <c r="G90">
        <v>247</v>
      </c>
      <c r="H90">
        <v>252926529077</v>
      </c>
      <c r="I90" t="s">
        <v>263</v>
      </c>
      <c r="J90" t="s">
        <v>95</v>
      </c>
      <c r="K90" t="s">
        <v>86</v>
      </c>
      <c r="L90">
        <v>79</v>
      </c>
      <c r="M90" t="str" cm="1">
        <f t="array" ref="M90">_xlfn.IFS(
OR(J90="XS", J90="5x7 in"), "XS",
OR(TRIM(UPPER(J90))="S", J90="Small", J90="8x10 in"), "S",
OR(J90="M", J90="Medium", J90="30x40 cm"), "M",
OR(J90="L", J90="Large", J90="50x70 cm"), "L",
OR(J90="XL", J90="Extra Large", J90="100x200 mm"), "XL",
OR(J90="XXL", J90="12x18 in"), "XXL", TRUE, "Other"
)</f>
        <v>Other</v>
      </c>
      <c r="N90" t="str" cm="1">
        <f t="array" ref="N9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0">
        <f xml:space="preserve"> products[[#This Row],[Price]] * products[[#This Row],[Stock]]</f>
        <v>1235</v>
      </c>
      <c r="P90" s="8" t="str" cm="1">
        <f t="array" ref="P9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0" s="10" t="str">
        <f>IF(products[[#This Row],[Stock]] &gt; AVERAGE(G90:G189),"High","Low")</f>
        <v>Low</v>
      </c>
      <c r="R90" s="10" t="str">
        <f>IF(products[[#This Row],[Inventory value]]&gt;AVERAGE(O90:O189),"High","Low")</f>
        <v>Low</v>
      </c>
      <c r="S90" s="10">
        <f>IF(products[[#This Row],[Inventory Val. Status]]="High",1,0)</f>
        <v>0</v>
      </c>
      <c r="T90" s="10">
        <f>IF(products[[#This Row],[Price Outliers]]="High Outlier",1,0)</f>
        <v>0</v>
      </c>
      <c r="U9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1" spans="1:21" x14ac:dyDescent="0.25">
      <c r="A91">
        <v>74</v>
      </c>
      <c r="B91" t="s">
        <v>274</v>
      </c>
      <c r="C91" t="s">
        <v>275</v>
      </c>
      <c r="D91" t="s">
        <v>262</v>
      </c>
      <c r="E91">
        <v>59</v>
      </c>
      <c r="F91" t="s">
        <v>14</v>
      </c>
      <c r="G91">
        <v>169</v>
      </c>
      <c r="H91">
        <v>1089969929675</v>
      </c>
      <c r="I91" t="s">
        <v>80</v>
      </c>
      <c r="J91" t="s">
        <v>16</v>
      </c>
      <c r="K91" t="s">
        <v>91</v>
      </c>
      <c r="L91">
        <v>31</v>
      </c>
      <c r="M91" t="str" cm="1">
        <f t="array" ref="M91">_xlfn.IFS(
OR(J91="XS", J91="5x7 in"), "XS",
OR(TRIM(UPPER(J91))="S", J91="Small", J91="8x10 in"), "S",
OR(J91="M", J91="Medium", J91="30x40 cm"), "M",
OR(J91="L", J91="Large", J91="50x70 cm"), "L",
OR(J91="XL", J91="Extra Large", J91="100x200 mm"), "XL",
OR(J91="XXL", J91="12x18 in"), "XXL", TRUE, "Other"
)</f>
        <v>L</v>
      </c>
      <c r="N91" t="str" cm="1">
        <f t="array" ref="N9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1">
        <f xml:space="preserve"> products[[#This Row],[Price]] * products[[#This Row],[Stock]]</f>
        <v>9971</v>
      </c>
      <c r="P91" s="8" t="str" cm="1">
        <f t="array" ref="P9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1" s="10" t="str">
        <f>IF(products[[#This Row],[Stock]] &gt; AVERAGE(G91:G190),"High","Low")</f>
        <v>Low</v>
      </c>
      <c r="R91" s="10" t="str">
        <f>IF(products[[#This Row],[Inventory value]]&gt;AVERAGE(O91:O190),"High","Low")</f>
        <v>Low</v>
      </c>
      <c r="S91" s="10">
        <f>IF(products[[#This Row],[Inventory Val. Status]]="High",1,0)</f>
        <v>0</v>
      </c>
      <c r="T91" s="10">
        <f>IF(products[[#This Row],[Price Outliers]]="High Outlier",1,0)</f>
        <v>0</v>
      </c>
      <c r="U9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2" spans="1:21" x14ac:dyDescent="0.25">
      <c r="A92">
        <v>31</v>
      </c>
      <c r="B92" t="s">
        <v>139</v>
      </c>
      <c r="C92" t="s">
        <v>140</v>
      </c>
      <c r="D92" t="s">
        <v>141</v>
      </c>
      <c r="E92">
        <v>102</v>
      </c>
      <c r="F92" t="s">
        <v>14</v>
      </c>
      <c r="G92">
        <v>669</v>
      </c>
      <c r="H92">
        <v>5564792899662</v>
      </c>
      <c r="I92" t="s">
        <v>142</v>
      </c>
      <c r="J92" t="s">
        <v>32</v>
      </c>
      <c r="K92" t="s">
        <v>86</v>
      </c>
      <c r="L92">
        <v>14</v>
      </c>
      <c r="M92" t="str" cm="1">
        <f t="array" ref="M92">_xlfn.IFS(
OR(J92="XS", J92="5x7 in"), "XS",
OR(TRIM(UPPER(J92))="S", J92="Small", J92="8x10 in"), "S",
OR(J92="M", J92="Medium", J92="30x40 cm"), "M",
OR(J92="L", J92="Large", J92="50x70 cm"), "L",
OR(J92="XL", J92="Extra Large", J92="100x200 mm"), "XL",
OR(J92="XXL", J92="12x18 in"), "XXL", TRUE, "Other"
)</f>
        <v>L</v>
      </c>
      <c r="N92" t="str" cm="1">
        <f t="array" ref="N92">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2">
        <f xml:space="preserve"> products[[#This Row],[Price]] * products[[#This Row],[Stock]]</f>
        <v>68238</v>
      </c>
      <c r="P92" s="8" t="str" cm="1">
        <f t="array" ref="P92">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2" s="10" t="str">
        <f>IF(products[[#This Row],[Stock]] &gt; AVERAGE(G92:G191),"High","Low")</f>
        <v>High</v>
      </c>
      <c r="R92" s="10" t="str">
        <f>IF(products[[#This Row],[Inventory value]]&gt;AVERAGE(O92:O191),"High","Low")</f>
        <v>Low</v>
      </c>
      <c r="S92" s="10">
        <f>IF(products[[#This Row],[Inventory Val. Status]]="High",1,0)</f>
        <v>0</v>
      </c>
      <c r="T92" s="10">
        <f>IF(products[[#This Row],[Price Outliers]]="High Outlier",1,0)</f>
        <v>0</v>
      </c>
      <c r="U92"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3" spans="1:21" x14ac:dyDescent="0.25">
      <c r="A93">
        <v>39</v>
      </c>
      <c r="B93" t="s">
        <v>165</v>
      </c>
      <c r="C93" t="s">
        <v>166</v>
      </c>
      <c r="D93" t="s">
        <v>141</v>
      </c>
      <c r="E93">
        <v>781</v>
      </c>
      <c r="F93" t="s">
        <v>14</v>
      </c>
      <c r="G93">
        <v>947</v>
      </c>
      <c r="H93">
        <v>8247903213713</v>
      </c>
      <c r="I93" t="s">
        <v>167</v>
      </c>
      <c r="J93" t="s">
        <v>90</v>
      </c>
      <c r="K93" t="s">
        <v>91</v>
      </c>
      <c r="L93">
        <v>69</v>
      </c>
      <c r="M93" t="str" cm="1">
        <f t="array" ref="M93">_xlfn.IFS(
OR(J93="XS", J93="5x7 in"), "XS",
OR(TRIM(UPPER(J93))="S", J93="Small", J93="8x10 in"), "S",
OR(J93="M", J93="Medium", J93="30x40 cm"), "M",
OR(J93="L", J93="Large", J93="50x70 cm"), "L",
OR(J93="XL", J93="Extra Large", J93="100x200 mm"), "XL",
OR(J93="XXL", J93="12x18 in"), "XXL", TRUE, "Other"
)</f>
        <v>XL</v>
      </c>
      <c r="N93" t="str" cm="1">
        <f t="array" ref="N93">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3">
        <f xml:space="preserve"> products[[#This Row],[Price]] * products[[#This Row],[Stock]]</f>
        <v>739607</v>
      </c>
      <c r="P93" s="8" t="str" cm="1">
        <f t="array" ref="P93">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High Outlier</v>
      </c>
      <c r="Q93" s="10" t="str">
        <f>IF(products[[#This Row],[Stock]] &gt; AVERAGE(G93:G192),"High","Low")</f>
        <v>High</v>
      </c>
      <c r="R93" s="10" t="str">
        <f>IF(products[[#This Row],[Inventory value]]&gt;AVERAGE(O93:O192),"High","Low")</f>
        <v>High</v>
      </c>
      <c r="S93" s="10">
        <f>IF(products[[#This Row],[Inventory Val. Status]]="High",1,0)</f>
        <v>1</v>
      </c>
      <c r="T93" s="10">
        <f>IF(products[[#This Row],[Price Outliers]]="High Outlier",1,0)</f>
        <v>1</v>
      </c>
      <c r="U93"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0.8</v>
      </c>
    </row>
    <row r="94" spans="1:21" x14ac:dyDescent="0.25">
      <c r="A94">
        <v>89</v>
      </c>
      <c r="B94" t="s">
        <v>311</v>
      </c>
      <c r="C94" t="s">
        <v>312</v>
      </c>
      <c r="D94" t="s">
        <v>141</v>
      </c>
      <c r="E94">
        <v>307</v>
      </c>
      <c r="F94" t="s">
        <v>14</v>
      </c>
      <c r="G94">
        <v>320</v>
      </c>
      <c r="H94">
        <v>4874329354658</v>
      </c>
      <c r="I94" t="s">
        <v>130</v>
      </c>
      <c r="J94" t="s">
        <v>32</v>
      </c>
      <c r="K94" t="s">
        <v>86</v>
      </c>
      <c r="L94">
        <v>5</v>
      </c>
      <c r="M94" t="str" cm="1">
        <f t="array" ref="M94">_xlfn.IFS(
OR(J94="XS", J94="5x7 in"), "XS",
OR(TRIM(UPPER(J94))="S", J94="Small", J94="8x10 in"), "S",
OR(J94="M", J94="Medium", J94="30x40 cm"), "M",
OR(J94="L", J94="Large", J94="50x70 cm"), "L",
OR(J94="XL", J94="Extra Large", J94="100x200 mm"), "XL",
OR(J94="XXL", J94="12x18 in"), "XXL", TRUE, "Other"
)</f>
        <v>L</v>
      </c>
      <c r="N94" t="str" cm="1">
        <f t="array" ref="N94">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Low</v>
      </c>
      <c r="O94">
        <f xml:space="preserve"> products[[#This Row],[Price]] * products[[#This Row],[Stock]]</f>
        <v>98240</v>
      </c>
      <c r="P94" s="8" t="str" cm="1">
        <f t="array" ref="P94">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4" s="10" t="str">
        <f>IF(products[[#This Row],[Stock]] &gt; AVERAGE(G94:G193),"High","Low")</f>
        <v>Low</v>
      </c>
      <c r="R94" s="10" t="str">
        <f>IF(products[[#This Row],[Inventory value]]&gt;AVERAGE(O94:O193),"High","Low")</f>
        <v>Low</v>
      </c>
      <c r="S94" s="10">
        <f>IF(products[[#This Row],[Inventory Val. Status]]="High",1,0)</f>
        <v>0</v>
      </c>
      <c r="T94" s="10">
        <f>IF(products[[#This Row],[Price Outliers]]="High Outlier",1,0)</f>
        <v>0</v>
      </c>
      <c r="U94"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5" spans="1:21" x14ac:dyDescent="0.25">
      <c r="A95">
        <v>16</v>
      </c>
      <c r="B95" t="s">
        <v>81</v>
      </c>
      <c r="C95" t="s">
        <v>82</v>
      </c>
      <c r="D95" t="s">
        <v>83</v>
      </c>
      <c r="E95">
        <v>316</v>
      </c>
      <c r="F95" t="s">
        <v>14</v>
      </c>
      <c r="G95">
        <v>329</v>
      </c>
      <c r="H95">
        <v>3500722785805</v>
      </c>
      <c r="I95" t="s">
        <v>84</v>
      </c>
      <c r="J95" t="s">
        <v>85</v>
      </c>
      <c r="K95" t="s">
        <v>86</v>
      </c>
      <c r="L95">
        <v>44</v>
      </c>
      <c r="M95" t="str" cm="1">
        <f t="array" ref="M95">_xlfn.IFS(
OR(J95="XS", J95="5x7 in"), "XS",
OR(TRIM(UPPER(J95))="S", J95="Small", J95="8x10 in"), "S",
OR(J95="M", J95="Medium", J95="30x40 cm"), "M",
OR(J95="L", J95="Large", J95="50x70 cm"), "L",
OR(J95="XL", J95="Extra Large", J95="100x200 mm"), "XL",
OR(J95="XXL", J95="12x18 in"), "XXL", TRUE, "Other"
)</f>
        <v>XS</v>
      </c>
      <c r="N95" t="str" cm="1">
        <f t="array" ref="N95">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5">
        <f xml:space="preserve"> products[[#This Row],[Price]] * products[[#This Row],[Stock]]</f>
        <v>103964</v>
      </c>
      <c r="P95" s="8" t="str" cm="1">
        <f t="array" ref="P95">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5" s="10" t="str">
        <f>IF(products[[#This Row],[Stock]] &gt; AVERAGE(G95:G194),"High","Low")</f>
        <v>Low</v>
      </c>
      <c r="R95" s="10" t="str">
        <f>IF(products[[#This Row],[Inventory value]]&gt;AVERAGE(O95:O194),"High","Low")</f>
        <v>Low</v>
      </c>
      <c r="S95" s="10">
        <f>IF(products[[#This Row],[Inventory Val. Status]]="High",1,0)</f>
        <v>0</v>
      </c>
      <c r="T95" s="10">
        <f>IF(products[[#This Row],[Price Outliers]]="High Outlier",1,0)</f>
        <v>0</v>
      </c>
      <c r="U95"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6" spans="1:21" x14ac:dyDescent="0.25">
      <c r="A96">
        <v>48</v>
      </c>
      <c r="B96" t="s">
        <v>196</v>
      </c>
      <c r="C96" t="s">
        <v>197</v>
      </c>
      <c r="D96" t="s">
        <v>83</v>
      </c>
      <c r="E96">
        <v>731</v>
      </c>
      <c r="F96" t="s">
        <v>14</v>
      </c>
      <c r="G96">
        <v>664</v>
      </c>
      <c r="H96">
        <v>1382809012286</v>
      </c>
      <c r="I96" t="s">
        <v>198</v>
      </c>
      <c r="J96" t="s">
        <v>48</v>
      </c>
      <c r="K96" t="s">
        <v>86</v>
      </c>
      <c r="L96">
        <v>55</v>
      </c>
      <c r="M96" t="str" cm="1">
        <f t="array" ref="M96">_xlfn.IFS(
OR(J96="XS", J96="5x7 in"), "XS",
OR(TRIM(UPPER(J96))="S", J96="Small", J96="8x10 in"), "S",
OR(J96="M", J96="Medium", J96="30x40 cm"), "M",
OR(J96="L", J96="Large", J96="50x70 cm"), "L",
OR(J96="XL", J96="Extra Large", J96="100x200 mm"), "XL",
OR(J96="XXL", J96="12x18 in"), "XXL", TRUE, "Other"
)</f>
        <v>S</v>
      </c>
      <c r="N96" t="str" cm="1">
        <f t="array" ref="N96">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6">
        <f xml:space="preserve"> products[[#This Row],[Price]] * products[[#This Row],[Stock]]</f>
        <v>485384</v>
      </c>
      <c r="P96" s="8" t="str" cm="1">
        <f t="array" ref="P96">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6" s="10" t="str">
        <f>IF(products[[#This Row],[Stock]] &gt; AVERAGE(G96:G195),"High","Low")</f>
        <v>High</v>
      </c>
      <c r="R96" s="10" t="str">
        <f>IF(products[[#This Row],[Inventory value]]&gt;AVERAGE(O96:O195),"High","Low")</f>
        <v>High</v>
      </c>
      <c r="S96" s="10">
        <f>IF(products[[#This Row],[Inventory Val. Status]]="High",1,0)</f>
        <v>1</v>
      </c>
      <c r="T96" s="10">
        <f>IF(products[[#This Row],[Price Outliers]]="High Outlier",1,0)</f>
        <v>0</v>
      </c>
      <c r="U96"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97" spans="1:21" x14ac:dyDescent="0.25">
      <c r="A97">
        <v>66</v>
      </c>
      <c r="B97" t="s">
        <v>249</v>
      </c>
      <c r="C97" t="s">
        <v>250</v>
      </c>
      <c r="D97" t="s">
        <v>106</v>
      </c>
      <c r="E97">
        <v>731</v>
      </c>
      <c r="F97" t="s">
        <v>14</v>
      </c>
      <c r="G97">
        <v>744</v>
      </c>
      <c r="H97">
        <v>4598541150958</v>
      </c>
      <c r="I97" t="s">
        <v>99</v>
      </c>
      <c r="J97" t="s">
        <v>85</v>
      </c>
      <c r="K97" t="s">
        <v>91</v>
      </c>
      <c r="L97">
        <v>70</v>
      </c>
      <c r="M97" t="str" cm="1">
        <f t="array" ref="M97">_xlfn.IFS(
OR(J97="XS", J97="5x7 in"), "XS",
OR(TRIM(UPPER(J97))="S", J97="Small", J97="8x10 in"), "S",
OR(J97="M", J97="Medium", J97="30x40 cm"), "M",
OR(J97="L", J97="Large", J97="50x70 cm"), "L",
OR(J97="XL", J97="Extra Large", J97="100x200 mm"), "XL",
OR(J97="XXL", J97="12x18 in"), "XXL", TRUE, "Other"
)</f>
        <v>XS</v>
      </c>
      <c r="N97" t="str" cm="1">
        <f t="array" ref="N97">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97">
        <f xml:space="preserve"> products[[#This Row],[Price]] * products[[#This Row],[Stock]]</f>
        <v>543864</v>
      </c>
      <c r="P97" s="8" t="str" cm="1">
        <f t="array" ref="P97">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7" s="10" t="str">
        <f>IF(products[[#This Row],[Stock]] &gt; AVERAGE(G97:G196),"High","Low")</f>
        <v>High</v>
      </c>
      <c r="R97" s="10" t="str">
        <f>IF(products[[#This Row],[Inventory value]]&gt;AVERAGE(O97:O196),"High","Low")</f>
        <v>High</v>
      </c>
      <c r="S97" s="10">
        <f>IF(products[[#This Row],[Inventory Val. Status]]="High",1,0)</f>
        <v>1</v>
      </c>
      <c r="T97" s="10">
        <f>IF(products[[#This Row],[Price Outliers]]="High Outlier",1,0)</f>
        <v>0</v>
      </c>
      <c r="U97"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98" spans="1:21" x14ac:dyDescent="0.25">
      <c r="A98">
        <v>21</v>
      </c>
      <c r="B98" t="s">
        <v>104</v>
      </c>
      <c r="C98" t="s">
        <v>105</v>
      </c>
      <c r="D98" t="s">
        <v>106</v>
      </c>
      <c r="E98">
        <v>197</v>
      </c>
      <c r="F98" t="s">
        <v>14</v>
      </c>
      <c r="G98">
        <v>163</v>
      </c>
      <c r="H98">
        <v>963840013930</v>
      </c>
      <c r="I98" t="s">
        <v>107</v>
      </c>
      <c r="J98" t="s">
        <v>32</v>
      </c>
      <c r="K98" t="s">
        <v>23</v>
      </c>
      <c r="L98">
        <v>96</v>
      </c>
      <c r="M98" t="str" cm="1">
        <f t="array" ref="M98">_xlfn.IFS(
OR(J98="XS", J98="5x7 in"), "XS",
OR(TRIM(UPPER(J98))="S", J98="Small", J98="8x10 in"), "S",
OR(J98="M", J98="Medium", J98="30x40 cm"), "M",
OR(J98="L", J98="Large", J98="50x70 cm"), "L",
OR(J98="XL", J98="Extra Large", J98="100x200 mm"), "XL",
OR(J98="XXL", J98="12x18 in"), "XXL", TRUE, "Other"
)</f>
        <v>L</v>
      </c>
      <c r="N98" t="str" cm="1">
        <f t="array" ref="N98">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98">
        <f xml:space="preserve"> products[[#This Row],[Price]] * products[[#This Row],[Stock]]</f>
        <v>32111</v>
      </c>
      <c r="P98" s="8" t="str" cm="1">
        <f t="array" ref="P98">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Low Outlier</v>
      </c>
      <c r="Q98" s="10" t="str">
        <f>IF(products[[#This Row],[Stock]] &gt; AVERAGE(G98:G197),"High","Low")</f>
        <v>Low</v>
      </c>
      <c r="R98" s="10" t="str">
        <f>IF(products[[#This Row],[Inventory value]]&gt;AVERAGE(O98:O197),"High","Low")</f>
        <v>Low</v>
      </c>
      <c r="S98" s="10">
        <f>IF(products[[#This Row],[Inventory Val. Status]]="High",1,0)</f>
        <v>0</v>
      </c>
      <c r="T98" s="10">
        <f>IF(products[[#This Row],[Price Outliers]]="High Outlier",1,0)</f>
        <v>0</v>
      </c>
      <c r="U98"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99" spans="1:21" x14ac:dyDescent="0.25">
      <c r="A99">
        <v>36</v>
      </c>
      <c r="B99" t="s">
        <v>156</v>
      </c>
      <c r="C99" t="s">
        <v>157</v>
      </c>
      <c r="D99" t="s">
        <v>106</v>
      </c>
      <c r="E99">
        <v>635</v>
      </c>
      <c r="F99" t="s">
        <v>14</v>
      </c>
      <c r="G99">
        <v>727</v>
      </c>
      <c r="H99">
        <v>7883295446066</v>
      </c>
      <c r="I99" t="s">
        <v>158</v>
      </c>
      <c r="J99" t="s">
        <v>95</v>
      </c>
      <c r="K99" t="s">
        <v>96</v>
      </c>
      <c r="L99">
        <v>74</v>
      </c>
      <c r="M99" t="str" cm="1">
        <f t="array" ref="M99">_xlfn.IFS(
OR(J99="XS", J99="5x7 in"), "XS",
OR(TRIM(UPPER(J99))="S", J99="Small", J99="8x10 in"), "S",
OR(J99="M", J99="Medium", J99="30x40 cm"), "M",
OR(J99="L", J99="Large", J99="50x70 cm"), "L",
OR(J99="XL", J99="Extra Large", J99="100x200 mm"), "XL",
OR(J99="XXL", J99="12x18 in"), "XXL", TRUE, "Other"
)</f>
        <v>Other</v>
      </c>
      <c r="N99" t="str" cm="1">
        <f t="array" ref="N99">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High</v>
      </c>
      <c r="O99">
        <f xml:space="preserve"> products[[#This Row],[Price]] * products[[#This Row],[Stock]]</f>
        <v>461645</v>
      </c>
      <c r="P99" s="8" t="str" cm="1">
        <f t="array" ref="P99">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99" s="10" t="str">
        <f>IF(products[[#This Row],[Stock]] &gt; AVERAGE(G99:G198),"High","Low")</f>
        <v>High</v>
      </c>
      <c r="R99" s="10" t="str">
        <f>IF(products[[#This Row],[Inventory value]]&gt;AVERAGE(O99:O198),"High","Low")</f>
        <v>High</v>
      </c>
      <c r="S99" s="10">
        <f>IF(products[[#This Row],[Inventory Val. Status]]="High",1,0)</f>
        <v>1</v>
      </c>
      <c r="T99" s="10">
        <f>IF(products[[#This Row],[Price Outliers]]="High Outlier",1,0)</f>
        <v>0</v>
      </c>
      <c r="U99"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100" spans="1:21" x14ac:dyDescent="0.25">
      <c r="A100">
        <v>58</v>
      </c>
      <c r="B100" t="s">
        <v>226</v>
      </c>
      <c r="C100" t="s">
        <v>227</v>
      </c>
      <c r="D100" t="s">
        <v>106</v>
      </c>
      <c r="E100">
        <v>689</v>
      </c>
      <c r="F100" t="s">
        <v>14</v>
      </c>
      <c r="G100">
        <v>332</v>
      </c>
      <c r="H100">
        <v>5175038823985</v>
      </c>
      <c r="I100" t="s">
        <v>228</v>
      </c>
      <c r="J100" t="s">
        <v>172</v>
      </c>
      <c r="K100" t="s">
        <v>96</v>
      </c>
      <c r="L100">
        <v>94</v>
      </c>
      <c r="M100" t="str" cm="1">
        <f t="array" ref="M100">_xlfn.IFS(
OR(J100="XS", J100="5x7 in"), "XS",
OR(TRIM(UPPER(J100))="S", J100="Small", J100="8x10 in"), "S",
OR(J100="M", J100="Medium", J100="30x40 cm"), "M",
OR(J100="L", J100="Large", J100="50x70 cm"), "L",
OR(J100="XL", J100="Extra Large", J100="100x200 mm"), "XL",
OR(J100="XXL", J100="12x18 in"), "XXL", TRUE, "Other"
)</f>
        <v>S</v>
      </c>
      <c r="N100" t="str" cm="1">
        <f t="array" ref="N100">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00">
        <f xml:space="preserve"> products[[#This Row],[Price]] * products[[#This Row],[Stock]]</f>
        <v>228748</v>
      </c>
      <c r="P100" s="8" t="str" cm="1">
        <f t="array" ref="P100">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00" s="10" t="str">
        <f>IF(products[[#This Row],[Stock]] &gt; AVERAGE(G100:G199),"High","Low")</f>
        <v>Low</v>
      </c>
      <c r="R100" s="10" t="str">
        <f>IF(products[[#This Row],[Inventory value]]&gt;AVERAGE(O100:O199),"High","Low")</f>
        <v>High</v>
      </c>
      <c r="S100" s="10">
        <f>IF(products[[#This Row],[Inventory Val. Status]]="High",1,0)</f>
        <v>1</v>
      </c>
      <c r="T100" s="10">
        <f>IF(products[[#This Row],[Price Outliers]]="High Outlier",1,0)</f>
        <v>0</v>
      </c>
      <c r="U100"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0.6</v>
      </c>
    </row>
    <row r="101" spans="1:21" x14ac:dyDescent="0.25">
      <c r="A101">
        <v>86</v>
      </c>
      <c r="B101" t="s">
        <v>304</v>
      </c>
      <c r="C101" t="s">
        <v>305</v>
      </c>
      <c r="D101" t="s">
        <v>106</v>
      </c>
      <c r="E101">
        <v>342</v>
      </c>
      <c r="F101" t="s">
        <v>14</v>
      </c>
      <c r="G101">
        <v>221</v>
      </c>
      <c r="H101">
        <v>4862330962177</v>
      </c>
      <c r="I101" t="s">
        <v>246</v>
      </c>
      <c r="J101" t="s">
        <v>48</v>
      </c>
      <c r="K101" t="s">
        <v>17</v>
      </c>
      <c r="L101">
        <v>88</v>
      </c>
      <c r="M101" t="str" cm="1">
        <f t="array" ref="M101">_xlfn.IFS(
OR(J101="XS", J101="5x7 in"), "XS",
OR(TRIM(UPPER(J101))="S", J101="Small", J101="8x10 in"), "S",
OR(J101="M", J101="Medium", J101="30x40 cm"), "M",
OR(J101="L", J101="Large", J101="50x70 cm"), "L",
OR(J101="XL", J101="Extra Large", J101="100x200 mm"), "XL",
OR(J101="XXL", J101="12x18 in"), "XXL", TRUE, "Other"
)</f>
        <v>S</v>
      </c>
      <c r="N101" t="str" cm="1">
        <f t="array" ref="N101">IFERROR((_xlfn.IFS(products[[#This Row],[Stock]]&gt;= (_xlfn.XLOOKUP(products[[#This Row],[Category]],LOOKUPTABLE2!$A$2:$A$33,LOOKUPTABLE2!$B$2:$B$33) + _xlfn.XLOOKUP(products[[#This Row],[Category]],LOOKUPTABLE2!$A$2:$A$33,LOOKUPTABLE2!$C$2:C$33)),  "High", products[[#This Row],[Stock]]&lt;=(_xlfn.XLOOKUP(products[[#This Row],[Category]],LOOKUPTABLE2!$A$2:$A$33,LOOKUPTABLE2!$B$2:$B$33)  - _xlfn.XLOOKUP(products[[#This Row],[Category]],LOOKUPTABLE2!$A$2:$A$33,LOOKUPTABLE2!$C$2:$C$33)), "Low", TRUE, "Medium")),"NULL")</f>
        <v>Medium</v>
      </c>
      <c r="O101">
        <f xml:space="preserve"> products[[#This Row],[Price]] * products[[#This Row],[Stock]]</f>
        <v>75582</v>
      </c>
      <c r="P101" s="8" t="str" cm="1">
        <f t="array" ref="P101">IFERROR(_xlfn.IFS(products[[#This Row],[Price]]&gt;= (_xlfn.XLOOKUP(products[[#This Row],[Category]],LOOKUPTABLE1!$A$2:$A$33,LOOKUPTABLE1!$B$2:$B$33) + _xlfn.XLOOKUP(products[[#This Row],[Category]],LOOKUPTABLE2!$A$2:$A$33,LOOKUPTABLE1!$C$2:C$33)),  "High Outlier", products[[#This Row],[Price]]&lt;=(_xlfn.XLOOKUP(products[[#This Row],[Category]],LOOKUPTABLE1!$A$2:$A$33,LOOKUPTABLE1!$B$2:$B$33)  - _xlfn.XLOOKUP(products[[#This Row],[Category]],LOOKUPTABLE2!$A$2:$A$33,LOOKUPTABLE1!$C$2:$C$33)), "Low Outlier",TRUE, "Medium Outlier"),"NULL")</f>
        <v>Medium Outlier</v>
      </c>
      <c r="Q101" s="10" t="str">
        <f>IF(products[[#This Row],[Stock]] &gt; AVERAGE(G101:G200),"High","Low")</f>
        <v>Low</v>
      </c>
      <c r="R101" s="10" t="str">
        <f>IF(products[[#This Row],[Inventory value]]&gt;AVERAGE(O101:O200),"High","Low")</f>
        <v>Low</v>
      </c>
      <c r="S101" s="10">
        <f>IF(products[[#This Row],[Inventory Val. Status]]="High",1,0)</f>
        <v>0</v>
      </c>
      <c r="T101" s="10">
        <f>IF(products[[#This Row],[Price Outliers]]="High Outlier",1,0)</f>
        <v>0</v>
      </c>
      <c r="U101" s="10">
        <f>SUM(products[[#This Row],[Numeric Inv. Status]] * 0.4,products[[#This Row],[Numeric Price Outlier ]] * 0.2,_xlfn.XLOOKUP(products[[#This Row],[Category]],LOOKUPTABLE1!$A$2:$A$33,LOOKUPTABLE1!$G$2:$G$33)*0.1,_xlfn.XLOOKUP(products[[#This Row],[Category]],LOOKUPTABLE1!$A$2:$A$33,LOOKUPTABLE1!$H$2:$H$33 )*0.1, _xlfn.XLOOKUP(products[[#This Row],[Category]],LOOKUPTABLE2!$A$2:$A$33,LOOKUPTABLE2!$G$2:$G$33)*0.1,_xlfn.XLOOKUP(products[[#This Row],[Category]],LOOKUPTABLE2!$A$2:$A$33,LOOKUPTABLE2!$H$2:$H$33)*0.1)</f>
        <v>0.2</v>
      </c>
    </row>
    <row r="102" spans="1:21" x14ac:dyDescent="0.25">
      <c r="G102">
        <f>AVERAGE(G2:G101)</f>
        <v>541.04</v>
      </c>
      <c r="M102" t="str" cm="1">
        <f t="array" ref="M102">_xlfn.IFS(
OR(J102="XS", J102="5x7 in"), "XS",
OR(TRIM(UPPER(J102))="S", J102="Small", J102="8x10 in"), "S",
OR(J102="M", J102="Medium", J102="30x40 cm"), "M",
OR(J102="L", J102="Large", J102="50x70 cm"), "L",
OR(J102="XL", J102="Extra Large", J102="100x200 mm"), "XL",
OR(J102="XXL", J102="12x18 in"), "XXL", TRUE, "Other"
)</f>
        <v>Other</v>
      </c>
      <c r="N102" t="e" cm="1">
        <f t="array" ref="N102">_xlfn.IFS( products[[#This Row],[Stock]]&gt;= _xlfn.XLOOKUP(#REF!,T:T,U:U) + _xlfn.XLOOKUP(#REF!,T:T,V:V),  "High", products[[#This Row],[Stock]]&lt;=_xlfn.XLOOKUP(#REF!,T:T,U:U)  - _xlfn.XLOOKUP(#REF!,T:T,V:V), "Low", TRUE, "Medium")</f>
        <v>#REF!</v>
      </c>
      <c r="O102">
        <f>AVERAGE(O2:O101)</f>
        <v>244194.26</v>
      </c>
      <c r="U102">
        <f>AVERAGE(U2:U101)</f>
        <v>0.41000000000000014</v>
      </c>
    </row>
    <row r="103" spans="1:21" ht="15.75" thickBot="1" x14ac:dyDescent="0.3"/>
    <row r="104" spans="1:21" ht="15.75" thickTop="1" x14ac:dyDescent="0.25">
      <c r="O104" s="1"/>
      <c r="R104" s="1"/>
    </row>
    <row r="137" spans="3:4" x14ac:dyDescent="0.25">
      <c r="C137">
        <f>COUNT(C105:C135)</f>
        <v>0</v>
      </c>
    </row>
    <row r="139" spans="3:4" x14ac:dyDescent="0.25">
      <c r="D139">
        <f>MIN(E2:E101)</f>
        <v>1</v>
      </c>
    </row>
  </sheetData>
  <phoneticPr fontId="2" type="noConversion"/>
  <conditionalFormatting sqref="E2">
    <cfRule type="expression" dxfId="19" priority="19">
      <formula>E2:E101 &gt; 500</formula>
    </cfRule>
  </conditionalFormatting>
  <conditionalFormatting sqref="E3:E101">
    <cfRule type="expression" dxfId="18" priority="49">
      <formula>E3:E104 &gt; 500</formula>
    </cfRule>
  </conditionalFormatting>
  <conditionalFormatting sqref="G2">
    <cfRule type="expression" dxfId="17" priority="16">
      <formula>G2:G101 &gt;=700</formula>
    </cfRule>
  </conditionalFormatting>
  <conditionalFormatting sqref="G2:G20 G23:G30 G34:G101">
    <cfRule type="top10" dxfId="16" priority="23" rank="10"/>
  </conditionalFormatting>
  <conditionalFormatting sqref="G21">
    <cfRule type="top10" dxfId="15" priority="33" rank="10"/>
  </conditionalFormatting>
  <conditionalFormatting sqref="G22">
    <cfRule type="expression" dxfId="14" priority="54">
      <formula>G22:G121 &gt;=700</formula>
    </cfRule>
    <cfRule type="top10" dxfId="13" priority="55" rank="10"/>
  </conditionalFormatting>
  <conditionalFormatting sqref="G23:G31 G3:G21 G34:G101">
    <cfRule type="expression" dxfId="12" priority="51">
      <formula>G3:G104 &gt;=700</formula>
    </cfRule>
  </conditionalFormatting>
  <conditionalFormatting sqref="G31">
    <cfRule type="top10" dxfId="11" priority="43" rank="10"/>
  </conditionalFormatting>
  <conditionalFormatting sqref="G32">
    <cfRule type="expression" dxfId="10" priority="56">
      <formula>G32:G131 &gt;=700</formula>
    </cfRule>
    <cfRule type="top10" dxfId="9" priority="57" rank="10"/>
  </conditionalFormatting>
  <conditionalFormatting sqref="G33">
    <cfRule type="expression" dxfId="8" priority="58">
      <formula>G33:G135 &gt;=700</formula>
    </cfRule>
    <cfRule type="top10" dxfId="7" priority="59" rank="10"/>
  </conditionalFormatting>
  <conditionalFormatting sqref="K2:K102">
    <cfRule type="containsText" dxfId="6" priority="17" operator="containsText" text="l">
      <formula>NOT(ISERROR(SEARCH("l",K2)))</formula>
    </cfRule>
    <cfRule type="containsText" dxfId="5" priority="18" operator="containsText" text="out">
      <formula>NOT(ISERROR(SEARCH("out",K2)))</formula>
    </cfRule>
  </conditionalFormatting>
  <conditionalFormatting sqref="U2:U4">
    <cfRule type="expression" dxfId="4" priority="1">
      <formula>U2:U101 &lt; 0.41</formula>
    </cfRule>
    <cfRule type="expression" dxfId="3" priority="2">
      <formula>U2:U101 &gt; 0.41</formula>
    </cfRule>
  </conditionalFormatting>
  <conditionalFormatting sqref="U5:U101">
    <cfRule type="expression" dxfId="2" priority="60">
      <formula>V5:V104 &lt; 0.41</formula>
    </cfRule>
    <cfRule type="expression" dxfId="1" priority="61">
      <formula>V5:V104 &gt; 0.41</formula>
    </cfRule>
  </conditionalFormatting>
  <conditionalFormatting sqref="Z22">
    <cfRule type="containsText" dxfId="0" priority="14" operator="containsText" text="Sports">
      <formula>NOT(ISERROR(SEARCH("Sports",Z22)))</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1DD9-B778-4D4D-93D7-23293E2018EB}">
  <dimension ref="A1:H34"/>
  <sheetViews>
    <sheetView zoomScale="80" workbookViewId="0">
      <selection activeCell="D2" sqref="D2"/>
    </sheetView>
  </sheetViews>
  <sheetFormatPr defaultRowHeight="15" x14ac:dyDescent="0.25"/>
  <cols>
    <col min="1" max="1" width="28" customWidth="1"/>
    <col min="2" max="2" width="15.5703125" customWidth="1"/>
    <col min="3" max="3" width="11.28515625" customWidth="1"/>
    <col min="5" max="5" width="15.28515625" customWidth="1"/>
    <col min="6" max="6" width="13.7109375" customWidth="1"/>
    <col min="7" max="7" width="22.140625" customWidth="1"/>
    <col min="8" max="8" width="22.85546875" customWidth="1"/>
  </cols>
  <sheetData>
    <row r="1" spans="1:8" x14ac:dyDescent="0.25">
      <c r="A1" t="s">
        <v>351</v>
      </c>
      <c r="B1" t="s">
        <v>338</v>
      </c>
      <c r="C1" t="s">
        <v>350</v>
      </c>
      <c r="D1" t="s">
        <v>349</v>
      </c>
      <c r="E1" t="s">
        <v>354</v>
      </c>
      <c r="F1" t="s">
        <v>353</v>
      </c>
      <c r="G1" t="s">
        <v>364</v>
      </c>
      <c r="H1" t="s">
        <v>365</v>
      </c>
    </row>
    <row r="2" spans="1:8" x14ac:dyDescent="0.25">
      <c r="A2" t="str" cm="1">
        <f t="array" ref="A2:A34">_xlfn.UNIQUE(products[Category])</f>
        <v>Accessories (Bags, Hats, Belts)</v>
      </c>
      <c r="B2">
        <f>AVERAGEIF(products[Category],A2,products[Price])</f>
        <v>206</v>
      </c>
      <c r="C2" t="str" cm="1">
        <f t="array" ref="C2">IFERROR(_xlfn.STDEV.S(IF(products[Category]=A2,products[Price])), "NULL")</f>
        <v>NULL</v>
      </c>
      <c r="D2" t="str">
        <f>IFERROR(Table6[[#This Row],[SD]]/Table6[[#This Row],[Average price]], "NULL")</f>
        <v>NULL</v>
      </c>
      <c r="E2" t="str">
        <f>IF(Table6[[#This Row],[CV]] &gt; AVERAGE( D2:D33), "High Volatility", "Low Volatility")</f>
        <v>High Volatility</v>
      </c>
      <c r="F2" t="str">
        <f>IF(Table6[[#This Row],[VOLATILITY]]="High volatility", "Stable","Unstable")</f>
        <v>Stable</v>
      </c>
      <c r="G2">
        <f>IF(Table6[[#This Row],[VOLATILITY]]="High Volatility",1,0)</f>
        <v>1</v>
      </c>
      <c r="H2">
        <f>IF(Table6[[#This Row],[STABILITY]] = "Stable",1,0)</f>
        <v>1</v>
      </c>
    </row>
    <row r="3" spans="1:8" x14ac:dyDescent="0.25">
      <c r="A3" t="str">
        <v>Automotive</v>
      </c>
      <c r="B3">
        <f>AVERAGEIF(products[Category],A3,products[Price])</f>
        <v>421.66666666666669</v>
      </c>
      <c r="C3" cm="1">
        <f t="array" ref="C3">IFERROR(_xlfn.STDEV.S(IF(products[Category]=A3,products[Price])), "NULL")</f>
        <v>369.53412111287724</v>
      </c>
      <c r="D3">
        <f>IFERROR(Table6[[#This Row],[SD]]/Table6[[#This Row],[Average price]], "NULL")</f>
        <v>0.8763655046155191</v>
      </c>
      <c r="E3" t="str">
        <f>IF(Table6[[#This Row],[CV]] &gt; AVERAGE( D3:D34), "High Volatility", "Low Volatility")</f>
        <v>High Volatility</v>
      </c>
      <c r="F3" t="str">
        <f>IF(Table6[[#This Row],[VOLATILITY]]="High volatility", "Stable","Unstable")</f>
        <v>Stable</v>
      </c>
      <c r="G3">
        <f>IF(Table6[[#This Row],[VOLATILITY]]="High Volatility",1,0)</f>
        <v>1</v>
      </c>
      <c r="H3">
        <f>IF(Table6[[#This Row],[STABILITY]] = "Stable",1,0)</f>
        <v>1</v>
      </c>
    </row>
    <row r="4" spans="1:8" x14ac:dyDescent="0.25">
      <c r="A4" t="str">
        <v>Beauty &amp; Personal Care</v>
      </c>
      <c r="B4">
        <f>AVERAGEIF(products[Category],A4,products[Price])</f>
        <v>278.5</v>
      </c>
      <c r="C4" cm="1">
        <f t="array" ref="C4">IFERROR(_xlfn.STDEV.S(IF(products[Category]=A4,products[Price])), "NULL")</f>
        <v>116.84890528655656</v>
      </c>
      <c r="D4">
        <f>IFERROR(Table6[[#This Row],[SD]]/Table6[[#This Row],[Average price]], "NULL")</f>
        <v>0.41956518953880273</v>
      </c>
      <c r="E4" t="str">
        <f>IF(Table6[[#This Row],[CV]] &gt; AVERAGE( D4:D35), "High Volatility", "Low Volatility")</f>
        <v>Low Volatility</v>
      </c>
      <c r="F4" t="str">
        <f>IF(Table6[[#This Row],[VOLATILITY]]="High volatility", "Stable","Unstable")</f>
        <v>Unstable</v>
      </c>
      <c r="G4">
        <f>IF(Table6[[#This Row],[VOLATILITY]]="High Volatility",1,0)</f>
        <v>0</v>
      </c>
      <c r="H4">
        <f>IF(Table6[[#This Row],[STABILITY]] = "Stable",1,0)</f>
        <v>0</v>
      </c>
    </row>
    <row r="5" spans="1:8" x14ac:dyDescent="0.25">
      <c r="A5" t="str">
        <v>Bedding &amp; Bath</v>
      </c>
      <c r="B5">
        <f>AVERAGEIF(products[Category],A5,products[Price])</f>
        <v>453</v>
      </c>
      <c r="C5" cm="1">
        <f t="array" ref="C5">IFERROR(_xlfn.STDEV.S(IF(products[Category]=A5,products[Price])), "NULL")</f>
        <v>338.00591710797016</v>
      </c>
      <c r="D5">
        <f>IFERROR(Table6[[#This Row],[SD]]/Table6[[#This Row],[Average price]], "NULL")</f>
        <v>0.74614992739066266</v>
      </c>
      <c r="E5" t="str">
        <f>IF(Table6[[#This Row],[CV]] &gt; AVERAGE( D5:D36), "High Volatility", "Low Volatility")</f>
        <v>High Volatility</v>
      </c>
      <c r="F5" t="str">
        <f>IF(Table6[[#This Row],[VOLATILITY]]="High volatility", "Stable","Unstable")</f>
        <v>Stable</v>
      </c>
      <c r="G5">
        <f>IF(Table6[[#This Row],[VOLATILITY]]="High Volatility",1,0)</f>
        <v>1</v>
      </c>
      <c r="H5">
        <f>IF(Table6[[#This Row],[STABILITY]] = "Stable",1,0)</f>
        <v>1</v>
      </c>
    </row>
    <row r="6" spans="1:8" x14ac:dyDescent="0.25">
      <c r="A6" t="str">
        <v>Books &amp; Stationery</v>
      </c>
      <c r="B6">
        <f>AVERAGEIF(products[Category],A6,products[Price])</f>
        <v>388.5</v>
      </c>
      <c r="C6" cm="1">
        <f t="array" ref="C6">IFERROR(_xlfn.STDEV.S(IF(products[Category]=A6,products[Price])), "NULL")</f>
        <v>105.71187255932988</v>
      </c>
      <c r="D6">
        <f>IFERROR(Table6[[#This Row],[SD]]/Table6[[#This Row],[Average price]], "NULL")</f>
        <v>0.27210263207034718</v>
      </c>
      <c r="E6" t="str">
        <f>IF(Table6[[#This Row],[CV]] &gt; AVERAGE( D6:D37), "High Volatility", "Low Volatility")</f>
        <v>Low Volatility</v>
      </c>
      <c r="F6" t="str">
        <f>IF(Table6[[#This Row],[VOLATILITY]]="High volatility", "Stable","Unstable")</f>
        <v>Unstable</v>
      </c>
      <c r="G6">
        <f>IF(Table6[[#This Row],[VOLATILITY]]="High Volatility",1,0)</f>
        <v>0</v>
      </c>
      <c r="H6">
        <f>IF(Table6[[#This Row],[STABILITY]] = "Stable",1,0)</f>
        <v>0</v>
      </c>
    </row>
    <row r="7" spans="1:8" x14ac:dyDescent="0.25">
      <c r="A7" t="str">
        <v>Cameras &amp; Accessories</v>
      </c>
      <c r="B7">
        <f>AVERAGEIF(products[Category],A7,products[Price])</f>
        <v>444.5</v>
      </c>
      <c r="C7" cm="1">
        <f t="array" ref="C7">IFERROR(_xlfn.STDEV.S(IF(products[Category]=A7,products[Price])), "NULL")</f>
        <v>105.35891039679558</v>
      </c>
      <c r="D7">
        <f>IFERROR(Table6[[#This Row],[SD]]/Table6[[#This Row],[Average price]], "NULL")</f>
        <v>0.2370279199028022</v>
      </c>
      <c r="E7" t="str">
        <f>IF(Table6[[#This Row],[CV]] &gt; AVERAGE( D7:D38), "High Volatility", "Low Volatility")</f>
        <v>Low Volatility</v>
      </c>
      <c r="F7" t="str">
        <f>IF(Table6[[#This Row],[VOLATILITY]]="High volatility", "Stable","Unstable")</f>
        <v>Unstable</v>
      </c>
      <c r="G7">
        <f>IF(Table6[[#This Row],[VOLATILITY]]="High Volatility",1,0)</f>
        <v>0</v>
      </c>
      <c r="H7">
        <f>IF(Table6[[#This Row],[STABILITY]] = "Stable",1,0)</f>
        <v>0</v>
      </c>
    </row>
    <row r="8" spans="1:8" x14ac:dyDescent="0.25">
      <c r="A8" t="str">
        <v>Camping &amp; Hiking</v>
      </c>
      <c r="B8">
        <f>AVERAGEIF(products[Category],A8,products[Price])</f>
        <v>612.66666666666663</v>
      </c>
      <c r="C8" cm="1">
        <f t="array" ref="C8">IFERROR(_xlfn.STDEV.S(IF(products[Category]=A8,products[Price])), "NULL")</f>
        <v>378.68500542447327</v>
      </c>
      <c r="D8">
        <f>IFERROR(Table6[[#This Row],[SD]]/Table6[[#This Row],[Average price]], "NULL")</f>
        <v>0.61809304476247007</v>
      </c>
      <c r="E8" t="str">
        <f>IF(Table6[[#This Row],[CV]] &gt; AVERAGE( D8:D39), "High Volatility", "Low Volatility")</f>
        <v>High Volatility</v>
      </c>
      <c r="F8" t="str">
        <f>IF(Table6[[#This Row],[VOLATILITY]]="High volatility", "Stable","Unstable")</f>
        <v>Stable</v>
      </c>
      <c r="G8">
        <f>IF(Table6[[#This Row],[VOLATILITY]]="High Volatility",1,0)</f>
        <v>1</v>
      </c>
      <c r="H8">
        <f>IF(Table6[[#This Row],[STABILITY]] = "Stable",1,0)</f>
        <v>1</v>
      </c>
    </row>
    <row r="9" spans="1:8" x14ac:dyDescent="0.25">
      <c r="A9" t="str">
        <v>Cleaning Supplies</v>
      </c>
      <c r="B9">
        <f>AVERAGEIF(products[Category],A9,products[Price])</f>
        <v>391.33333333333331</v>
      </c>
      <c r="C9" cm="1">
        <f t="array" ref="C9">IFERROR(_xlfn.STDEV.S(IF(products[Category]=A9,products[Price])), "NULL")</f>
        <v>315.18988985477733</v>
      </c>
      <c r="D9">
        <f>IFERROR(Table6[[#This Row],[SD]]/Table6[[#This Row],[Average price]], "NULL")</f>
        <v>0.80542561291680759</v>
      </c>
      <c r="E9" t="str">
        <f>IF(Table6[[#This Row],[CV]] &gt; AVERAGE( D9:D40), "High Volatility", "Low Volatility")</f>
        <v>High Volatility</v>
      </c>
      <c r="F9" t="str">
        <f>IF(Table6[[#This Row],[VOLATILITY]]="High volatility", "Stable","Unstable")</f>
        <v>Stable</v>
      </c>
      <c r="G9">
        <f>IF(Table6[[#This Row],[VOLATILITY]]="High Volatility",1,0)</f>
        <v>1</v>
      </c>
      <c r="H9">
        <f>IF(Table6[[#This Row],[STABILITY]] = "Stable",1,0)</f>
        <v>1</v>
      </c>
    </row>
    <row r="10" spans="1:8" x14ac:dyDescent="0.25">
      <c r="A10" t="str">
        <v>Clothing &amp; Apparel</v>
      </c>
      <c r="B10">
        <f>AVERAGEIF(products[Category],A10,products[Price])</f>
        <v>858</v>
      </c>
      <c r="C10" t="str" cm="1">
        <f t="array" ref="C10">IFERROR(_xlfn.STDEV.S(IF(products[Category]=A10,products[Price])), "NULL")</f>
        <v>NULL</v>
      </c>
      <c r="D10" t="str">
        <f>IFERROR(Table6[[#This Row],[SD]]/Table6[[#This Row],[Average price]], "NULL")</f>
        <v>NULL</v>
      </c>
      <c r="E10" t="str">
        <f>IF(Table6[[#This Row],[CV]] &gt; AVERAGE( D10:D41), "High Volatility", "Low Volatility")</f>
        <v>High Volatility</v>
      </c>
      <c r="F10" t="str">
        <f>IF(Table6[[#This Row],[VOLATILITY]]="High volatility", "Stable","Unstable")</f>
        <v>Stable</v>
      </c>
      <c r="G10">
        <f>IF(Table6[[#This Row],[VOLATILITY]]="High Volatility",1,0)</f>
        <v>1</v>
      </c>
      <c r="H10">
        <f>IF(Table6[[#This Row],[STABILITY]] = "Stable",1,0)</f>
        <v>1</v>
      </c>
    </row>
    <row r="11" spans="1:8" x14ac:dyDescent="0.25">
      <c r="A11" t="str">
        <v>Cycling</v>
      </c>
      <c r="B11">
        <f>AVERAGEIF(products[Category],A11,products[Price])</f>
        <v>799.33333333333337</v>
      </c>
      <c r="C11" cm="1">
        <f t="array" ref="C11">IFERROR(_xlfn.STDEV.S(IF(products[Category]=A11,products[Price])), "NULL")</f>
        <v>110.00151514108055</v>
      </c>
      <c r="D11">
        <f>IFERROR(Table6[[#This Row],[SD]]/Table6[[#This Row],[Average price]], "NULL")</f>
        <v>0.13761657440502154</v>
      </c>
      <c r="E11" t="str">
        <f>IF(Table6[[#This Row],[CV]] &gt; AVERAGE( D11:D42), "High Volatility", "Low Volatility")</f>
        <v>Low Volatility</v>
      </c>
      <c r="F11" t="str">
        <f>IF(Table6[[#This Row],[VOLATILITY]]="High volatility", "Stable","Unstable")</f>
        <v>Unstable</v>
      </c>
      <c r="G11">
        <f>IF(Table6[[#This Row],[VOLATILITY]]="High Volatility",1,0)</f>
        <v>0</v>
      </c>
      <c r="H11">
        <f>IF(Table6[[#This Row],[STABILITY]] = "Stable",1,0)</f>
        <v>0</v>
      </c>
    </row>
    <row r="12" spans="1:8" x14ac:dyDescent="0.25">
      <c r="A12" t="str">
        <v>Fishing &amp; Hunting</v>
      </c>
      <c r="B12">
        <f>AVERAGEIF(products[Category],A12,products[Price])</f>
        <v>100</v>
      </c>
      <c r="C12" t="str" cm="1">
        <f t="array" ref="C12">IFERROR(_xlfn.STDEV.S(IF(products[Category]=A12,products[Price])), "NULL")</f>
        <v>NULL</v>
      </c>
      <c r="D12" t="str">
        <f>IFERROR(Table6[[#This Row],[SD]]/Table6[[#This Row],[Average price]], "NULL")</f>
        <v>NULL</v>
      </c>
      <c r="E12" t="str">
        <f>IF(Table6[[#This Row],[CV]] &gt; AVERAGE( D12:D43), "High Volatility", "Low Volatility")</f>
        <v>High Volatility</v>
      </c>
      <c r="F12" t="str">
        <f>IF(Table6[[#This Row],[VOLATILITY]]="High volatility", "Stable","Unstable")</f>
        <v>Stable</v>
      </c>
      <c r="G12">
        <f>IF(Table6[[#This Row],[VOLATILITY]]="High Volatility",1,0)</f>
        <v>1</v>
      </c>
      <c r="H12">
        <f>IF(Table6[[#This Row],[STABILITY]] = "Stable",1,0)</f>
        <v>1</v>
      </c>
    </row>
    <row r="13" spans="1:8" x14ac:dyDescent="0.25">
      <c r="A13" t="str">
        <v>Fitness Equipment</v>
      </c>
      <c r="B13">
        <f>AVERAGEIF(products[Category],A13,products[Price])</f>
        <v>703.33333333333337</v>
      </c>
      <c r="C13" cm="1">
        <f t="array" ref="C13">IFERROR(_xlfn.STDEV.S(IF(products[Category]=A13,products[Price])), "NULL")</f>
        <v>189.55825841501439</v>
      </c>
      <c r="D13">
        <f>IFERROR(Table6[[#This Row],[SD]]/Table6[[#This Row],[Average price]], "NULL")</f>
        <v>0.26951411149054177</v>
      </c>
      <c r="E13" t="str">
        <f>IF(Table6[[#This Row],[CV]] &gt; AVERAGE( D13:D44), "High Volatility", "Low Volatility")</f>
        <v>Low Volatility</v>
      </c>
      <c r="F13" t="str">
        <f>IF(Table6[[#This Row],[VOLATILITY]]="High volatility", "Stable","Unstable")</f>
        <v>Unstable</v>
      </c>
      <c r="G13">
        <f>IF(Table6[[#This Row],[VOLATILITY]]="High Volatility",1,0)</f>
        <v>0</v>
      </c>
      <c r="H13">
        <f>IF(Table6[[#This Row],[STABILITY]] = "Stable",1,0)</f>
        <v>0</v>
      </c>
    </row>
    <row r="14" spans="1:8" x14ac:dyDescent="0.25">
      <c r="A14" t="str">
        <v>Fragrances</v>
      </c>
      <c r="B14">
        <f>AVERAGEIF(products[Category],A14,products[Price])</f>
        <v>477.5</v>
      </c>
      <c r="C14" cm="1">
        <f t="array" ref="C14">IFERROR(_xlfn.STDEV.S(IF(products[Category]=A14,products[Price])), "NULL")</f>
        <v>281.6078834123789</v>
      </c>
      <c r="D14">
        <f>IFERROR(Table6[[#This Row],[SD]]/Table6[[#This Row],[Average price]], "NULL")</f>
        <v>0.58975472965943221</v>
      </c>
      <c r="E14" t="str">
        <f>IF(Table6[[#This Row],[CV]] &gt; AVERAGE( D14:D45), "High Volatility", "Low Volatility")</f>
        <v>Low Volatility</v>
      </c>
      <c r="F14" t="str">
        <f>IF(Table6[[#This Row],[VOLATILITY]]="High volatility", "Stable","Unstable")</f>
        <v>Unstable</v>
      </c>
      <c r="G14">
        <f>IF(Table6[[#This Row],[VOLATILITY]]="High Volatility",1,0)</f>
        <v>0</v>
      </c>
      <c r="H14">
        <f>IF(Table6[[#This Row],[STABILITY]] = "Stable",1,0)</f>
        <v>0</v>
      </c>
    </row>
    <row r="15" spans="1:8" x14ac:dyDescent="0.25">
      <c r="A15" t="str">
        <v>Furniture</v>
      </c>
      <c r="B15">
        <f>AVERAGEIF(products[Category],A15,products[Price])</f>
        <v>689</v>
      </c>
      <c r="C15" cm="1">
        <f t="array" ref="C15">IFERROR(_xlfn.STDEV.S(IF(products[Category]=A15,products[Price])), "NULL")</f>
        <v>418.60721446243616</v>
      </c>
      <c r="D15">
        <f>IFERROR(Table6[[#This Row],[SD]]/Table6[[#This Row],[Average price]], "NULL")</f>
        <v>0.60755764072922525</v>
      </c>
      <c r="E15" t="str">
        <f>IF(Table6[[#This Row],[CV]] &gt; AVERAGE( D15:D46), "High Volatility", "Low Volatility")</f>
        <v>High Volatility</v>
      </c>
      <c r="F15" t="str">
        <f>IF(Table6[[#This Row],[VOLATILITY]]="High volatility", "Stable","Unstable")</f>
        <v>Stable</v>
      </c>
      <c r="G15">
        <f>IF(Table6[[#This Row],[VOLATILITY]]="High Volatility",1,0)</f>
        <v>1</v>
      </c>
      <c r="H15">
        <f>IF(Table6[[#This Row],[STABILITY]] = "Stable",1,0)</f>
        <v>1</v>
      </c>
    </row>
    <row r="16" spans="1:8" x14ac:dyDescent="0.25">
      <c r="A16" t="str">
        <v>Grooming Tools</v>
      </c>
      <c r="B16">
        <f>AVERAGEIF(products[Category],A16,products[Price])</f>
        <v>702.5</v>
      </c>
      <c r="C16" cm="1">
        <f t="array" ref="C16">IFERROR(_xlfn.STDEV.S(IF(products[Category]=A16,products[Price])), "NULL")</f>
        <v>115.25840533340725</v>
      </c>
      <c r="D16">
        <f>IFERROR(Table6[[#This Row],[SD]]/Table6[[#This Row],[Average price]], "NULL")</f>
        <v>0.16406890438919183</v>
      </c>
      <c r="E16" t="str">
        <f>IF(Table6[[#This Row],[CV]] &gt; AVERAGE( D16:D47), "High Volatility", "Low Volatility")</f>
        <v>Low Volatility</v>
      </c>
      <c r="F16" t="str">
        <f>IF(Table6[[#This Row],[VOLATILITY]]="High volatility", "Stable","Unstable")</f>
        <v>Unstable</v>
      </c>
      <c r="G16">
        <f>IF(Table6[[#This Row],[VOLATILITY]]="High Volatility",1,0)</f>
        <v>0</v>
      </c>
      <c r="H16">
        <f>IF(Table6[[#This Row],[STABILITY]] = "Stable",1,0)</f>
        <v>0</v>
      </c>
    </row>
    <row r="17" spans="1:8" x14ac:dyDescent="0.25">
      <c r="A17" t="str">
        <v>Haircare</v>
      </c>
      <c r="B17">
        <f>AVERAGEIF(products[Category],A17,products[Price])</f>
        <v>681.66666666666663</v>
      </c>
      <c r="C17" cm="1">
        <f t="array" ref="C17">IFERROR(_xlfn.STDEV.S(IF(products[Category]=A17,products[Price])), "NULL")</f>
        <v>272.01531819611444</v>
      </c>
      <c r="D17">
        <f>IFERROR(Table6[[#This Row],[SD]]/Table6[[#This Row],[Average price]], "NULL")</f>
        <v>0.39904447657131703</v>
      </c>
      <c r="E17" t="str">
        <f>IF(Table6[[#This Row],[CV]] &gt; AVERAGE( D17:D48), "High Volatility", "Low Volatility")</f>
        <v>Low Volatility</v>
      </c>
      <c r="F17" t="str">
        <f>IF(Table6[[#This Row],[VOLATILITY]]="High volatility", "Stable","Unstable")</f>
        <v>Unstable</v>
      </c>
      <c r="G17">
        <f>IF(Table6[[#This Row],[VOLATILITY]]="High Volatility",1,0)</f>
        <v>0</v>
      </c>
      <c r="H17">
        <f>IF(Table6[[#This Row],[STABILITY]] = "Stable",1,0)</f>
        <v>0</v>
      </c>
    </row>
    <row r="18" spans="1:8" x14ac:dyDescent="0.25">
      <c r="A18" t="str">
        <v>Health &amp; Wellness</v>
      </c>
      <c r="B18">
        <f>AVERAGEIF(products[Category],A18,products[Price])</f>
        <v>268.33333333333331</v>
      </c>
      <c r="C18" cm="1">
        <f t="array" ref="C18">IFERROR(_xlfn.STDEV.S(IF(products[Category]=A18,products[Price])), "NULL")</f>
        <v>328.00711374399589</v>
      </c>
      <c r="D18">
        <f>IFERROR(Table6[[#This Row],[SD]]/Table6[[#This Row],[Average price]], "NULL")</f>
        <v>1.2223867592943947</v>
      </c>
      <c r="E18" t="str">
        <f>IF(Table6[[#This Row],[CV]] &gt; AVERAGE( D18:D49), "High Volatility", "Low Volatility")</f>
        <v>High Volatility</v>
      </c>
      <c r="F18" t="str">
        <f>IF(Table6[[#This Row],[VOLATILITY]]="High volatility", "Stable","Unstable")</f>
        <v>Stable</v>
      </c>
      <c r="G18">
        <f>IF(Table6[[#This Row],[VOLATILITY]]="High Volatility",1,0)</f>
        <v>1</v>
      </c>
      <c r="H18">
        <f>IF(Table6[[#This Row],[STABILITY]] = "Stable",1,0)</f>
        <v>1</v>
      </c>
    </row>
    <row r="19" spans="1:8" x14ac:dyDescent="0.25">
      <c r="A19" t="str">
        <v>Home &amp; Kitchen</v>
      </c>
      <c r="B19">
        <f>AVERAGEIF(products[Category],A19,products[Price])</f>
        <v>367.5</v>
      </c>
      <c r="C19" cm="1">
        <f t="array" ref="C19">IFERROR(_xlfn.STDEV.S(IF(products[Category]=A19,products[Price])), "NULL")</f>
        <v>449.01280605345767</v>
      </c>
      <c r="D19">
        <f>IFERROR(Table6[[#This Row],[SD]]/Table6[[#This Row],[Average price]], "NULL")</f>
        <v>1.2218035538869596</v>
      </c>
      <c r="E19" t="str">
        <f>IF(Table6[[#This Row],[CV]] &gt; AVERAGE( D19:D50), "High Volatility", "Low Volatility")</f>
        <v>High Volatility</v>
      </c>
      <c r="F19" t="str">
        <f>IF(Table6[[#This Row],[VOLATILITY]]="High volatility", "Stable","Unstable")</f>
        <v>Stable</v>
      </c>
      <c r="G19">
        <f>IF(Table6[[#This Row],[VOLATILITY]]="High Volatility",1,0)</f>
        <v>1</v>
      </c>
      <c r="H19">
        <f>IF(Table6[[#This Row],[STABILITY]] = "Stable",1,0)</f>
        <v>1</v>
      </c>
    </row>
    <row r="20" spans="1:8" x14ac:dyDescent="0.25">
      <c r="A20" t="str">
        <v>Home Decor</v>
      </c>
      <c r="B20">
        <f>AVERAGEIF(products[Category],A20,products[Price])</f>
        <v>782.5</v>
      </c>
      <c r="C20" cm="1">
        <f t="array" ref="C20">IFERROR(_xlfn.STDEV.S(IF(products[Category]=A20,products[Price])), "NULL")</f>
        <v>215.667568261897</v>
      </c>
      <c r="D20">
        <f>IFERROR(Table6[[#This Row],[SD]]/Table6[[#This Row],[Average price]], "NULL")</f>
        <v>0.27561350576600258</v>
      </c>
      <c r="E20" t="str">
        <f>IF(Table6[[#This Row],[CV]] &gt; AVERAGE( D20:D51), "High Volatility", "Low Volatility")</f>
        <v>Low Volatility</v>
      </c>
      <c r="F20" t="str">
        <f>IF(Table6[[#This Row],[VOLATILITY]]="High volatility", "Stable","Unstable")</f>
        <v>Unstable</v>
      </c>
      <c r="G20">
        <f>IF(Table6[[#This Row],[VOLATILITY]]="High Volatility",1,0)</f>
        <v>0</v>
      </c>
      <c r="H20">
        <f>IF(Table6[[#This Row],[STABILITY]] = "Stable",1,0)</f>
        <v>0</v>
      </c>
    </row>
    <row r="21" spans="1:8" x14ac:dyDescent="0.25">
      <c r="A21" t="str">
        <v>Kids' Clothing</v>
      </c>
      <c r="B21">
        <f>AVERAGEIF(products[Category],A21,products[Price])</f>
        <v>397.8</v>
      </c>
      <c r="C21" cm="1">
        <f t="array" ref="C21">IFERROR(_xlfn.STDEV.S(IF(products[Category]=A21,products[Price])), "NULL")</f>
        <v>249.51292551689585</v>
      </c>
      <c r="D21">
        <f>IFERROR(Table6[[#This Row],[SD]]/Table6[[#This Row],[Average price]], "NULL")</f>
        <v>0.6272320902888282</v>
      </c>
      <c r="E21" t="str">
        <f>IF(Table6[[#This Row],[CV]] &gt; AVERAGE( D21:D52), "High Volatility", "Low Volatility")</f>
        <v>High Volatility</v>
      </c>
      <c r="F21" t="str">
        <f>IF(Table6[[#This Row],[VOLATILITY]]="High volatility", "Stable","Unstable")</f>
        <v>Stable</v>
      </c>
      <c r="G21">
        <f>IF(Table6[[#This Row],[VOLATILITY]]="High Volatility",1,0)</f>
        <v>1</v>
      </c>
      <c r="H21">
        <f>IF(Table6[[#This Row],[STABILITY]] = "Stable",1,0)</f>
        <v>1</v>
      </c>
    </row>
    <row r="22" spans="1:8" x14ac:dyDescent="0.25">
      <c r="A22" t="str">
        <v>Kitchen Appliances</v>
      </c>
      <c r="B22">
        <f>AVERAGEIF(products[Category],A22,products[Price])</f>
        <v>251</v>
      </c>
      <c r="C22" cm="1">
        <f t="array" ref="C22">IFERROR(_xlfn.STDEV.S(IF(products[Category]=A22,products[Price])), "NULL")</f>
        <v>143.5130656072819</v>
      </c>
      <c r="D22">
        <f>IFERROR(Table6[[#This Row],[SD]]/Table6[[#This Row],[Average price]], "NULL")</f>
        <v>0.57176520162263711</v>
      </c>
      <c r="E22" t="str">
        <f>IF(Table6[[#This Row],[CV]] &gt; AVERAGE( D22:D53), "High Volatility", "Low Volatility")</f>
        <v>High Volatility</v>
      </c>
      <c r="F22" t="str">
        <f>IF(Table6[[#This Row],[VOLATILITY]]="High volatility", "Stable","Unstable")</f>
        <v>Stable</v>
      </c>
      <c r="G22">
        <f>IF(Table6[[#This Row],[VOLATILITY]]="High Volatility",1,0)</f>
        <v>1</v>
      </c>
      <c r="H22">
        <f>IF(Table6[[#This Row],[STABILITY]] = "Stable",1,0)</f>
        <v>1</v>
      </c>
    </row>
    <row r="23" spans="1:8" x14ac:dyDescent="0.25">
      <c r="A23" t="str">
        <v>Laptops &amp; Computers</v>
      </c>
      <c r="B23">
        <f>AVERAGEIF(products[Category],A23,products[Price])</f>
        <v>328</v>
      </c>
      <c r="C23" cm="1">
        <f t="array" ref="C23">IFERROR(_xlfn.STDEV.S(IF(products[Category]=A23,products[Price])), "NULL")</f>
        <v>239.97708223911715</v>
      </c>
      <c r="D23">
        <f>IFERROR(Table6[[#This Row],[SD]]/Table6[[#This Row],[Average price]], "NULL")</f>
        <v>0.73163744585096691</v>
      </c>
      <c r="E23" t="str">
        <f>IF(Table6[[#This Row],[CV]] &gt; AVERAGE( D23:D54), "High Volatility", "Low Volatility")</f>
        <v>High Volatility</v>
      </c>
      <c r="F23" t="str">
        <f>IF(Table6[[#This Row],[VOLATILITY]]="High volatility", "Stable","Unstable")</f>
        <v>Stable</v>
      </c>
      <c r="G23">
        <f>IF(Table6[[#This Row],[VOLATILITY]]="High Volatility",1,0)</f>
        <v>1</v>
      </c>
      <c r="H23">
        <f>IF(Table6[[#This Row],[STABILITY]] = "Stable",1,0)</f>
        <v>1</v>
      </c>
    </row>
    <row r="24" spans="1:8" x14ac:dyDescent="0.25">
      <c r="A24" t="str">
        <v>Makeup</v>
      </c>
      <c r="B24">
        <f>AVERAGEIF(products[Category],A24,products[Price])</f>
        <v>257.5</v>
      </c>
      <c r="C24" cm="1">
        <f t="array" ref="C24">IFERROR(_xlfn.STDEV.S(IF(products[Category]=A24,products[Price])), "NULL")</f>
        <v>154.85638507985391</v>
      </c>
      <c r="D24">
        <f>IFERROR(Table6[[#This Row],[SD]]/Table6[[#This Row],[Average price]], "NULL")</f>
        <v>0.60138401972758804</v>
      </c>
      <c r="E24" t="str">
        <f>IF(Table6[[#This Row],[CV]] &gt; AVERAGE( D24:D55), "High Volatility", "Low Volatility")</f>
        <v>High Volatility</v>
      </c>
      <c r="F24" t="str">
        <f>IF(Table6[[#This Row],[VOLATILITY]]="High volatility", "Stable","Unstable")</f>
        <v>Stable</v>
      </c>
      <c r="G24">
        <f>IF(Table6[[#This Row],[VOLATILITY]]="High Volatility",1,0)</f>
        <v>1</v>
      </c>
      <c r="H24">
        <f>IF(Table6[[#This Row],[STABILITY]] = "Stable",1,0)</f>
        <v>1</v>
      </c>
    </row>
    <row r="25" spans="1:8" x14ac:dyDescent="0.25">
      <c r="A25" t="str">
        <v>Men's Clothing</v>
      </c>
      <c r="B25">
        <f>AVERAGEIF(products[Category],A25,products[Price])</f>
        <v>464.5</v>
      </c>
      <c r="C25" cm="1">
        <f t="array" ref="C25">IFERROR(_xlfn.STDEV.S(IF(products[Category]=A25,products[Price])), "NULL")</f>
        <v>34.648232278140831</v>
      </c>
      <c r="D25">
        <f>IFERROR(Table6[[#This Row],[SD]]/Table6[[#This Row],[Average price]], "NULL")</f>
        <v>7.4592534506223537E-2</v>
      </c>
      <c r="E25" t="str">
        <f>IF(Table6[[#This Row],[CV]] &gt; AVERAGE( D25:D56), "High Volatility", "Low Volatility")</f>
        <v>Low Volatility</v>
      </c>
      <c r="F25" t="str">
        <f>IF(Table6[[#This Row],[VOLATILITY]]="High volatility", "Stable","Unstable")</f>
        <v>Unstable</v>
      </c>
      <c r="G25">
        <f>IF(Table6[[#This Row],[VOLATILITY]]="High Volatility",1,0)</f>
        <v>0</v>
      </c>
      <c r="H25">
        <f>IF(Table6[[#This Row],[STABILITY]] = "Stable",1,0)</f>
        <v>0</v>
      </c>
    </row>
    <row r="26" spans="1:8" x14ac:dyDescent="0.25">
      <c r="A26" t="str">
        <v>Office Supplies</v>
      </c>
      <c r="B26">
        <f>AVERAGEIF(products[Category],A26,products[Price])</f>
        <v>465.2</v>
      </c>
      <c r="C26" cm="1">
        <f t="array" ref="C26">IFERROR(_xlfn.STDEV.S(IF(products[Category]=A26,products[Price])), "NULL")</f>
        <v>345.31608708544121</v>
      </c>
      <c r="D26">
        <f>IFERROR(Table6[[#This Row],[SD]]/Table6[[#This Row],[Average price]], "NULL")</f>
        <v>0.74229597395838609</v>
      </c>
      <c r="E26" t="str">
        <f>IF(Table6[[#This Row],[CV]] &gt; AVERAGE( D26:D57), "High Volatility", "Low Volatility")</f>
        <v>High Volatility</v>
      </c>
      <c r="F26" t="str">
        <f>IF(Table6[[#This Row],[VOLATILITY]]="High volatility", "Stable","Unstable")</f>
        <v>Stable</v>
      </c>
      <c r="G26">
        <f>IF(Table6[[#This Row],[VOLATILITY]]="High Volatility",1,0)</f>
        <v>1</v>
      </c>
      <c r="H26">
        <f>IF(Table6[[#This Row],[STABILITY]] = "Stable",1,0)</f>
        <v>1</v>
      </c>
    </row>
    <row r="27" spans="1:8" x14ac:dyDescent="0.25">
      <c r="A27" t="str">
        <v>Shoes &amp; Footwear</v>
      </c>
      <c r="B27">
        <f>AVERAGEIF(products[Category],A27,products[Price])</f>
        <v>491</v>
      </c>
      <c r="C27" cm="1">
        <f t="array" ref="C27">IFERROR(_xlfn.STDEV.S(IF(products[Category]=A27,products[Price])), "NULL")</f>
        <v>15.556349186104045</v>
      </c>
      <c r="D27">
        <f>IFERROR(Table6[[#This Row],[SD]]/Table6[[#This Row],[Average price]], "NULL")</f>
        <v>3.1682992232391127E-2</v>
      </c>
      <c r="E27" t="str">
        <f>IF(Table6[[#This Row],[CV]] &gt; AVERAGE( D27:D58), "High Volatility", "Low Volatility")</f>
        <v>Low Volatility</v>
      </c>
      <c r="F27" t="str">
        <f>IF(Table6[[#This Row],[VOLATILITY]]="High volatility", "Stable","Unstable")</f>
        <v>Unstable</v>
      </c>
      <c r="G27">
        <f>IF(Table6[[#This Row],[VOLATILITY]]="High Volatility",1,0)</f>
        <v>0</v>
      </c>
      <c r="H27">
        <f>IF(Table6[[#This Row],[STABILITY]] = "Stable",1,0)</f>
        <v>0</v>
      </c>
    </row>
    <row r="28" spans="1:8" x14ac:dyDescent="0.25">
      <c r="A28" t="str">
        <v>Skincare</v>
      </c>
      <c r="B28">
        <f>AVERAGEIF(products[Category],A28,products[Price])</f>
        <v>514.66666666666663</v>
      </c>
      <c r="C28" cm="1">
        <f t="array" ref="C28">IFERROR(_xlfn.STDEV.S(IF(products[Category]=A28,products[Price])), "NULL")</f>
        <v>130.0820254044859</v>
      </c>
      <c r="D28">
        <f>IFERROR(Table6[[#This Row],[SD]]/Table6[[#This Row],[Average price]], "NULL")</f>
        <v>0.25275004936104778</v>
      </c>
      <c r="E28" t="str">
        <f>IF(Table6[[#This Row],[CV]] &gt; AVERAGE( D28:D59), "High Volatility", "Low Volatility")</f>
        <v>Low Volatility</v>
      </c>
      <c r="F28" t="str">
        <f>IF(Table6[[#This Row],[VOLATILITY]]="High volatility", "Stable","Unstable")</f>
        <v>Unstable</v>
      </c>
      <c r="G28">
        <f>IF(Table6[[#This Row],[VOLATILITY]]="High Volatility",1,0)</f>
        <v>0</v>
      </c>
      <c r="H28">
        <f>IF(Table6[[#This Row],[STABILITY]] = "Stable",1,0)</f>
        <v>0</v>
      </c>
    </row>
    <row r="29" spans="1:8" x14ac:dyDescent="0.25">
      <c r="A29" t="str">
        <v>Smartphones</v>
      </c>
      <c r="B29">
        <f>AVERAGEIF(products[Category],A29,products[Price])</f>
        <v>449.25</v>
      </c>
      <c r="C29" cm="1">
        <f t="array" ref="C29">IFERROR(_xlfn.STDEV.S(IF(products[Category]=A29,products[Price])), "NULL")</f>
        <v>347.08824526336241</v>
      </c>
      <c r="D29">
        <f>IFERROR(Table6[[#This Row],[SD]]/Table6[[#This Row],[Average price]], "NULL")</f>
        <v>0.77259486981271541</v>
      </c>
      <c r="E29" t="str">
        <f>IF(Table6[[#This Row],[CV]] &gt; AVERAGE( D29:D60), "High Volatility", "Low Volatility")</f>
        <v>High Volatility</v>
      </c>
      <c r="F29" t="str">
        <f>IF(Table6[[#This Row],[VOLATILITY]]="High volatility", "Stable","Unstable")</f>
        <v>Stable</v>
      </c>
      <c r="G29">
        <f>IF(Table6[[#This Row],[VOLATILITY]]="High Volatility",1,0)</f>
        <v>1</v>
      </c>
      <c r="H29">
        <f>IF(Table6[[#This Row],[STABILITY]] = "Stable",1,0)</f>
        <v>1</v>
      </c>
    </row>
    <row r="30" spans="1:8" x14ac:dyDescent="0.25">
      <c r="A30" t="str">
        <v>Smartwatches</v>
      </c>
      <c r="B30">
        <f>AVERAGEIF(products[Category],A30,products[Price])</f>
        <v>32</v>
      </c>
      <c r="C30" cm="1">
        <f t="array" ref="C30">IFERROR(_xlfn.STDEV.S(IF(products[Category]=A30,products[Price])), "NULL")</f>
        <v>38.183766184073569</v>
      </c>
      <c r="D30">
        <f>IFERROR(Table6[[#This Row],[SD]]/Table6[[#This Row],[Average price]], "NULL")</f>
        <v>1.193242693252299</v>
      </c>
      <c r="E30" t="str">
        <f>IF(Table6[[#This Row],[CV]] &gt; AVERAGE( D30:D61), "High Volatility", "Low Volatility")</f>
        <v>High Volatility</v>
      </c>
      <c r="F30" t="str">
        <f>IF(Table6[[#This Row],[VOLATILITY]]="High volatility", "Stable","Unstable")</f>
        <v>Stable</v>
      </c>
      <c r="G30">
        <f>IF(Table6[[#This Row],[VOLATILITY]]="High Volatility",1,0)</f>
        <v>1</v>
      </c>
      <c r="H30">
        <f>IF(Table6[[#This Row],[STABILITY]] = "Stable",1,0)</f>
        <v>1</v>
      </c>
    </row>
    <row r="31" spans="1:8" x14ac:dyDescent="0.25">
      <c r="A31" t="str">
        <v>Sports &amp; Outdoors</v>
      </c>
      <c r="B31">
        <f>AVERAGEIF(products[Category],A31,products[Price])</f>
        <v>396.66666666666669</v>
      </c>
      <c r="C31" cm="1">
        <f t="array" ref="C31">IFERROR(_xlfn.STDEV.S(IF(products[Category]=A31,products[Price])), "NULL")</f>
        <v>348.26761740554252</v>
      </c>
      <c r="D31">
        <f>IFERROR(Table6[[#This Row],[SD]]/Table6[[#This Row],[Average price]], "NULL")</f>
        <v>0.87798559009800636</v>
      </c>
      <c r="E31" t="str">
        <f>IF(Table6[[#This Row],[CV]] &gt; AVERAGE( D31:D62), "High Volatility", "Low Volatility")</f>
        <v>High Volatility</v>
      </c>
      <c r="F31" t="str">
        <f>IF(Table6[[#This Row],[VOLATILITY]]="High volatility", "Stable","Unstable")</f>
        <v>Stable</v>
      </c>
      <c r="G31">
        <f>IF(Table6[[#This Row],[VOLATILITY]]="High Volatility",1,0)</f>
        <v>1</v>
      </c>
      <c r="H31">
        <f>IF(Table6[[#This Row],[STABILITY]] = "Stable",1,0)</f>
        <v>1</v>
      </c>
    </row>
    <row r="32" spans="1:8" x14ac:dyDescent="0.25">
      <c r="A32" t="str">
        <v>Team Sports</v>
      </c>
      <c r="B32">
        <f>AVERAGEIF(products[Category],A32,products[Price])</f>
        <v>523.5</v>
      </c>
      <c r="C32" cm="1">
        <f t="array" ref="C32">IFERROR(_xlfn.STDEV.S(IF(products[Category]=A32,products[Price])), "NULL")</f>
        <v>293.44931419241721</v>
      </c>
      <c r="D32">
        <f>IFERROR(Table6[[#This Row],[SD]]/Table6[[#This Row],[Average price]], "NULL")</f>
        <v>0.56055265366268803</v>
      </c>
      <c r="E32" t="str">
        <f>IF(Table6[[#This Row],[CV]] &gt; AVERAGE( D32:D63), "High Volatility", "Low Volatility")</f>
        <v>High Volatility</v>
      </c>
      <c r="F32" t="str">
        <f>IF(Table6[[#This Row],[VOLATILITY]]="High volatility", "Stable","Unstable")</f>
        <v>Stable</v>
      </c>
      <c r="G32">
        <f>IF(Table6[[#This Row],[VOLATILITY]]="High Volatility",1,0)</f>
        <v>1</v>
      </c>
      <c r="H32">
        <f>IF(Table6[[#This Row],[STABILITY]] = "Stable",1,0)</f>
        <v>1</v>
      </c>
    </row>
    <row r="33" spans="1:8" x14ac:dyDescent="0.25">
      <c r="A33" t="str">
        <v>Women's Clothing</v>
      </c>
      <c r="B33">
        <f>AVERAGEIF(products[Category],A33,products[Price])</f>
        <v>518.79999999999995</v>
      </c>
      <c r="C33" cm="1">
        <f t="array" ref="C33">IFERROR(_xlfn.STDEV.S(IF(products[Category]=A33,products[Price])), "NULL")</f>
        <v>235.75029162230109</v>
      </c>
      <c r="D33">
        <f>IFERROR(Table6[[#This Row],[SD]]/Table6[[#This Row],[Average price]], "NULL")</f>
        <v>0.45441459449171379</v>
      </c>
      <c r="E33" t="str">
        <f>IF(Table6[[#This Row],[CV]] &gt; AVERAGE( D33:D64), "High Volatility", "Low Volatility")</f>
        <v>Low Volatility</v>
      </c>
      <c r="F33" t="str">
        <f>IF(Table6[[#This Row],[VOLATILITY]]="High volatility", "Stable","Unstable")</f>
        <v>Unstable</v>
      </c>
      <c r="G33">
        <f>IF(Table6[[#This Row],[VOLATILITY]]="High Volatility",1,0)</f>
        <v>0</v>
      </c>
      <c r="H33">
        <f>IF(Table6[[#This Row],[STABILITY]] = "Stable",1,0)</f>
        <v>0</v>
      </c>
    </row>
    <row r="34" spans="1:8" x14ac:dyDescent="0.25">
      <c r="A34">
        <v>0</v>
      </c>
      <c r="D34">
        <f>AVERAGE(Table6[CV])</f>
        <v>0.5639386481467239</v>
      </c>
    </row>
  </sheetData>
  <phoneticPr fontId="2"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2295D-9BD1-4B64-92FB-0E4068D72F56}">
  <dimension ref="A1:H34"/>
  <sheetViews>
    <sheetView workbookViewId="0">
      <selection activeCell="J5" sqref="J5"/>
    </sheetView>
  </sheetViews>
  <sheetFormatPr defaultRowHeight="15" x14ac:dyDescent="0.25"/>
  <cols>
    <col min="1" max="1" width="27.7109375" customWidth="1"/>
    <col min="2" max="2" width="18" customWidth="1"/>
    <col min="3" max="4" width="11.28515625" customWidth="1"/>
    <col min="5" max="5" width="13.28515625" customWidth="1"/>
    <col min="6" max="6" width="12.28515625" customWidth="1"/>
    <col min="7" max="7" width="22.140625" customWidth="1"/>
    <col min="8" max="8" width="21.28515625" customWidth="1"/>
  </cols>
  <sheetData>
    <row r="1" spans="1:8" x14ac:dyDescent="0.25">
      <c r="A1" t="s">
        <v>351</v>
      </c>
      <c r="B1" t="s">
        <v>352</v>
      </c>
      <c r="C1" t="s">
        <v>350</v>
      </c>
      <c r="D1" t="s">
        <v>349</v>
      </c>
      <c r="E1" t="s">
        <v>354</v>
      </c>
      <c r="F1" t="s">
        <v>353</v>
      </c>
      <c r="G1" t="s">
        <v>364</v>
      </c>
      <c r="H1" t="s">
        <v>365</v>
      </c>
    </row>
    <row r="2" spans="1:8" x14ac:dyDescent="0.25">
      <c r="A2" t="str" cm="1">
        <f t="array" ref="A2:A34">_xlfn.UNIQUE(products[Category])</f>
        <v>Accessories (Bags, Hats, Belts)</v>
      </c>
      <c r="B2">
        <f>AVERAGEIF(products[Category],A2,products[Stock])</f>
        <v>677</v>
      </c>
      <c r="C2" t="str" cm="1">
        <f t="array" ref="C2">IFERROR((_xlfn.STDEV.S(IF(products[Category]=A2,products[Stock]))),"NULL")</f>
        <v>NULL</v>
      </c>
      <c r="D2" t="str">
        <f>IFERROR(Table2[[#This Row],[SD]]/Table2[[#This Row],[Average Stock]],"NULL")</f>
        <v>NULL</v>
      </c>
      <c r="E2" t="str">
        <f>IF(Table2[[#This Row],[CV]] &gt; AVERAGE(D2:D33),"High Volatility","Low volatility")</f>
        <v>High Volatility</v>
      </c>
      <c r="F2" t="str">
        <f>IF(Table2[[#This Row],[VOLATILITY]]="High Volatility","Stable","Unstable")</f>
        <v>Stable</v>
      </c>
      <c r="G2">
        <f>IF(Table2[[#This Row],[VOLATILITY]]="High Volatility",1,0)</f>
        <v>1</v>
      </c>
      <c r="H2">
        <f>IF(Table2[[#This Row],[STABILITY]]="Stable",1,0)</f>
        <v>1</v>
      </c>
    </row>
    <row r="3" spans="1:8" x14ac:dyDescent="0.25">
      <c r="A3" t="str">
        <v>Automotive</v>
      </c>
      <c r="B3">
        <f>AVERAGEIF(products[Category],A3,products[Stock])</f>
        <v>495</v>
      </c>
      <c r="C3" cm="1">
        <f t="array" ref="C3">IFERROR((_xlfn.STDEV.S(IF(products[Category]=A3,products[Stock]))),"NULL")</f>
        <v>287.32281496602388</v>
      </c>
      <c r="D3">
        <f>IFERROR(Table2[[#This Row],[SD]]/Table2[[#This Row],[Average Stock]],"NULL")</f>
        <v>0.58045013124449274</v>
      </c>
      <c r="E3" t="str">
        <f>IF(Table2[[#This Row],[CV]] &gt; AVERAGE(D3:D34),"High Volatility","Low volatility")</f>
        <v>High Volatility</v>
      </c>
      <c r="F3" t="str">
        <f>IF(Table2[[#This Row],[VOLATILITY]]="High Volatility","Stable","Unstable")</f>
        <v>Stable</v>
      </c>
      <c r="G3">
        <f>IF(Table2[[#This Row],[VOLATILITY]]="High Volatility",1,0)</f>
        <v>1</v>
      </c>
      <c r="H3">
        <f>IF(Table2[[#This Row],[STABILITY]]="Stable",1,0)</f>
        <v>1</v>
      </c>
    </row>
    <row r="4" spans="1:8" x14ac:dyDescent="0.25">
      <c r="A4" t="str">
        <v>Beauty &amp; Personal Care</v>
      </c>
      <c r="B4">
        <f>AVERAGEIF(products[Category],A4,products[Stock])</f>
        <v>715.5</v>
      </c>
      <c r="C4" cm="1">
        <f t="array" ref="C4">IFERROR((_xlfn.STDEV.S(IF(products[Category]=A4,products[Stock]))),"NULL")</f>
        <v>167.35292050036057</v>
      </c>
      <c r="D4">
        <f>IFERROR(Table2[[#This Row],[SD]]/Table2[[#This Row],[Average Stock]],"NULL")</f>
        <v>0.23389646471049694</v>
      </c>
      <c r="E4" t="str">
        <f>IF(Table2[[#This Row],[CV]] &gt; AVERAGE(D4:D35),"High Volatility","Low volatility")</f>
        <v>Low volatility</v>
      </c>
      <c r="F4" t="str">
        <f>IF(Table2[[#This Row],[VOLATILITY]]="High Volatility","Stable","Unstable")</f>
        <v>Unstable</v>
      </c>
      <c r="G4">
        <f>IF(Table2[[#This Row],[VOLATILITY]]="High Volatility",1,0)</f>
        <v>0</v>
      </c>
      <c r="H4">
        <f>IF(Table2[[#This Row],[STABILITY]]="Stable",1,0)</f>
        <v>0</v>
      </c>
    </row>
    <row r="5" spans="1:8" x14ac:dyDescent="0.25">
      <c r="A5" t="str">
        <v>Bedding &amp; Bath</v>
      </c>
      <c r="B5">
        <f>AVERAGEIF(products[Category],A5,products[Stock])</f>
        <v>479.75</v>
      </c>
      <c r="C5" cm="1">
        <f t="array" ref="C5">IFERROR((_xlfn.STDEV.S(IF(products[Category]=A5,products[Stock]))),"NULL")</f>
        <v>331.03008423203272</v>
      </c>
      <c r="D5">
        <f>IFERROR(Table2[[#This Row],[SD]]/Table2[[#This Row],[Average Stock]],"NULL")</f>
        <v>0.69000538662226729</v>
      </c>
      <c r="E5" t="str">
        <f>IF(Table2[[#This Row],[CV]] &gt; AVERAGE(D5:D36),"High Volatility","Low volatility")</f>
        <v>High Volatility</v>
      </c>
      <c r="F5" t="str">
        <f>IF(Table2[[#This Row],[VOLATILITY]]="High Volatility","Stable","Unstable")</f>
        <v>Stable</v>
      </c>
      <c r="G5">
        <f>IF(Table2[[#This Row],[VOLATILITY]]="High Volatility",1,0)</f>
        <v>1</v>
      </c>
      <c r="H5">
        <f>IF(Table2[[#This Row],[STABILITY]]="Stable",1,0)</f>
        <v>1</v>
      </c>
    </row>
    <row r="6" spans="1:8" x14ac:dyDescent="0.25">
      <c r="A6" t="str">
        <v>Books &amp; Stationery</v>
      </c>
      <c r="B6">
        <f>AVERAGEIF(products[Category],A6,products[Stock])</f>
        <v>536.75</v>
      </c>
      <c r="C6" cm="1">
        <f t="array" ref="C6">IFERROR((_xlfn.STDEV.S(IF(products[Category]=A6,products[Stock]))),"NULL")</f>
        <v>304.93974814707246</v>
      </c>
      <c r="D6">
        <f>IFERROR(Table2[[#This Row],[SD]]/Table2[[#This Row],[Average Stock]],"NULL")</f>
        <v>0.5681224930546297</v>
      </c>
      <c r="E6" t="str">
        <f>IF(Table2[[#This Row],[CV]] &gt; AVERAGE(D6:D37),"High Volatility","Low volatility")</f>
        <v>High Volatility</v>
      </c>
      <c r="F6" t="str">
        <f>IF(Table2[[#This Row],[VOLATILITY]]="High Volatility","Stable","Unstable")</f>
        <v>Stable</v>
      </c>
      <c r="G6">
        <f>IF(Table2[[#This Row],[VOLATILITY]]="High Volatility",1,0)</f>
        <v>1</v>
      </c>
      <c r="H6">
        <f>IF(Table2[[#This Row],[STABILITY]]="Stable",1,0)</f>
        <v>1</v>
      </c>
    </row>
    <row r="7" spans="1:8" x14ac:dyDescent="0.25">
      <c r="A7" t="str">
        <v>Cameras &amp; Accessories</v>
      </c>
      <c r="B7">
        <f>AVERAGEIF(products[Category],A7,products[Stock])</f>
        <v>548</v>
      </c>
      <c r="C7" cm="1">
        <f t="array" ref="C7">IFERROR((_xlfn.STDEV.S(IF(products[Category]=A7,products[Stock]))),"NULL")</f>
        <v>74.953318805774032</v>
      </c>
      <c r="D7">
        <f>IFERROR(Table2[[#This Row],[SD]]/Table2[[#This Row],[Average Stock]],"NULL")</f>
        <v>0.13677612920761684</v>
      </c>
      <c r="E7" t="str">
        <f>IF(Table2[[#This Row],[CV]] &gt; AVERAGE(D7:D38),"High Volatility","Low volatility")</f>
        <v>Low volatility</v>
      </c>
      <c r="F7" t="str">
        <f>IF(Table2[[#This Row],[VOLATILITY]]="High Volatility","Stable","Unstable")</f>
        <v>Unstable</v>
      </c>
      <c r="G7">
        <f>IF(Table2[[#This Row],[VOLATILITY]]="High Volatility",1,0)</f>
        <v>0</v>
      </c>
      <c r="H7">
        <f>IF(Table2[[#This Row],[STABILITY]]="Stable",1,0)</f>
        <v>0</v>
      </c>
    </row>
    <row r="8" spans="1:8" x14ac:dyDescent="0.25">
      <c r="A8" t="str">
        <v>Camping &amp; Hiking</v>
      </c>
      <c r="B8">
        <f>AVERAGEIF(products[Category],A8,products[Stock])</f>
        <v>221.33333333333334</v>
      </c>
      <c r="C8" cm="1">
        <f t="array" ref="C8">IFERROR((_xlfn.STDEV.S(IF(products[Category]=A8,products[Stock]))),"NULL")</f>
        <v>193.88742438160688</v>
      </c>
      <c r="D8">
        <f>IFERROR(Table2[[#This Row],[SD]]/Table2[[#This Row],[Average Stock]],"NULL")</f>
        <v>0.87599739931448883</v>
      </c>
      <c r="E8" t="str">
        <f>IF(Table2[[#This Row],[CV]] &gt; AVERAGE(D8:D39),"High Volatility","Low volatility")</f>
        <v>High Volatility</v>
      </c>
      <c r="F8" t="str">
        <f>IF(Table2[[#This Row],[VOLATILITY]]="High Volatility","Stable","Unstable")</f>
        <v>Stable</v>
      </c>
      <c r="G8">
        <f>IF(Table2[[#This Row],[VOLATILITY]]="High Volatility",1,0)</f>
        <v>1</v>
      </c>
      <c r="H8">
        <f>IF(Table2[[#This Row],[STABILITY]]="Stable",1,0)</f>
        <v>1</v>
      </c>
    </row>
    <row r="9" spans="1:8" x14ac:dyDescent="0.25">
      <c r="A9" t="str">
        <v>Cleaning Supplies</v>
      </c>
      <c r="B9">
        <f>AVERAGEIF(products[Category],A9,products[Stock])</f>
        <v>552.33333333333337</v>
      </c>
      <c r="C9" cm="1">
        <f t="array" ref="C9">IFERROR((_xlfn.STDEV.S(IF(products[Category]=A9,products[Stock]))),"NULL")</f>
        <v>367.35414339117864</v>
      </c>
      <c r="D9">
        <f>IFERROR(Table2[[#This Row],[SD]]/Table2[[#This Row],[Average Stock]],"NULL")</f>
        <v>0.66509500915723341</v>
      </c>
      <c r="E9" t="str">
        <f>IF(Table2[[#This Row],[CV]] &gt; AVERAGE(D9:D40),"High Volatility","Low volatility")</f>
        <v>High Volatility</v>
      </c>
      <c r="F9" t="str">
        <f>IF(Table2[[#This Row],[VOLATILITY]]="High Volatility","Stable","Unstable")</f>
        <v>Stable</v>
      </c>
      <c r="G9">
        <f>IF(Table2[[#This Row],[VOLATILITY]]="High Volatility",1,0)</f>
        <v>1</v>
      </c>
      <c r="H9">
        <f>IF(Table2[[#This Row],[STABILITY]]="Stable",1,0)</f>
        <v>1</v>
      </c>
    </row>
    <row r="10" spans="1:8" x14ac:dyDescent="0.25">
      <c r="A10" t="str">
        <v>Clothing &amp; Apparel</v>
      </c>
      <c r="B10">
        <f>AVERAGEIF(products[Category],A10,products[Stock])</f>
        <v>912</v>
      </c>
      <c r="C10" t="str" cm="1">
        <f t="array" ref="C10">IFERROR((_xlfn.STDEV.S(IF(products[Category]=A10,products[Stock]))),"NULL")</f>
        <v>NULL</v>
      </c>
      <c r="D10" t="str">
        <f>IFERROR(Table2[[#This Row],[SD]]/Table2[[#This Row],[Average Stock]],"NULL")</f>
        <v>NULL</v>
      </c>
      <c r="E10" t="str">
        <f>IF(Table2[[#This Row],[CV]] &gt; AVERAGE(D10:D41),"High Volatility","Low volatility")</f>
        <v>High Volatility</v>
      </c>
      <c r="F10" t="str">
        <f>IF(Table2[[#This Row],[VOLATILITY]]="High Volatility","Stable","Unstable")</f>
        <v>Stable</v>
      </c>
      <c r="G10">
        <f>IF(Table2[[#This Row],[VOLATILITY]]="High Volatility",1,0)</f>
        <v>1</v>
      </c>
      <c r="H10">
        <f>IF(Table2[[#This Row],[STABILITY]]="Stable",1,0)</f>
        <v>1</v>
      </c>
    </row>
    <row r="11" spans="1:8" x14ac:dyDescent="0.25">
      <c r="A11" t="str">
        <v>Cycling</v>
      </c>
      <c r="B11">
        <f>AVERAGEIF(products[Category],A11,products[Stock])</f>
        <v>368</v>
      </c>
      <c r="C11" cm="1">
        <f t="array" ref="C11">IFERROR((_xlfn.STDEV.S(IF(products[Category]=A11,products[Stock]))),"NULL")</f>
        <v>371.53330940845666</v>
      </c>
      <c r="D11">
        <f>IFERROR(Table2[[#This Row],[SD]]/Table2[[#This Row],[Average Stock]],"NULL")</f>
        <v>1.0096013842621105</v>
      </c>
      <c r="E11" t="str">
        <f>IF(Table2[[#This Row],[CV]] &gt; AVERAGE(D11:D42),"High Volatility","Low volatility")</f>
        <v>High Volatility</v>
      </c>
      <c r="F11" t="str">
        <f>IF(Table2[[#This Row],[VOLATILITY]]="High Volatility","Stable","Unstable")</f>
        <v>Stable</v>
      </c>
      <c r="G11">
        <f>IF(Table2[[#This Row],[VOLATILITY]]="High Volatility",1,0)</f>
        <v>1</v>
      </c>
      <c r="H11">
        <f>IF(Table2[[#This Row],[STABILITY]]="Stable",1,0)</f>
        <v>1</v>
      </c>
    </row>
    <row r="12" spans="1:8" x14ac:dyDescent="0.25">
      <c r="A12" t="str">
        <v>Fishing &amp; Hunting</v>
      </c>
      <c r="B12">
        <f>AVERAGEIF(products[Category],A12,products[Stock])</f>
        <v>802</v>
      </c>
      <c r="C12" t="str" cm="1">
        <f t="array" ref="C12">IFERROR((_xlfn.STDEV.S(IF(products[Category]=A12,products[Stock]))),"NULL")</f>
        <v>NULL</v>
      </c>
      <c r="D12" t="str">
        <f>IFERROR(Table2[[#This Row],[SD]]/Table2[[#This Row],[Average Stock]],"NULL")</f>
        <v>NULL</v>
      </c>
      <c r="E12" t="str">
        <f>IF(Table2[[#This Row],[CV]] &gt; AVERAGE(D12:D43),"High Volatility","Low volatility")</f>
        <v>High Volatility</v>
      </c>
      <c r="F12" t="str">
        <f>IF(Table2[[#This Row],[VOLATILITY]]="High Volatility","Stable","Unstable")</f>
        <v>Stable</v>
      </c>
      <c r="G12">
        <f>IF(Table2[[#This Row],[VOLATILITY]]="High Volatility",1,0)</f>
        <v>1</v>
      </c>
      <c r="H12">
        <f>IF(Table2[[#This Row],[STABILITY]]="Stable",1,0)</f>
        <v>1</v>
      </c>
    </row>
    <row r="13" spans="1:8" x14ac:dyDescent="0.25">
      <c r="A13" t="str">
        <v>Fitness Equipment</v>
      </c>
      <c r="B13">
        <f>AVERAGEIF(products[Category],A13,products[Stock])</f>
        <v>787.33333333333337</v>
      </c>
      <c r="C13" cm="1">
        <f t="array" ref="C13">IFERROR((_xlfn.STDEV.S(IF(products[Category]=A13,products[Stock]))),"NULL")</f>
        <v>204.68838104136094</v>
      </c>
      <c r="D13">
        <f>IFERROR(Table2[[#This Row],[SD]]/Table2[[#This Row],[Average Stock]],"NULL")</f>
        <v>0.25997677524304946</v>
      </c>
      <c r="E13" t="str">
        <f>IF(Table2[[#This Row],[CV]] &gt; AVERAGE(D13:D44),"High Volatility","Low volatility")</f>
        <v>Low volatility</v>
      </c>
      <c r="F13" t="str">
        <f>IF(Table2[[#This Row],[VOLATILITY]]="High Volatility","Stable","Unstable")</f>
        <v>Unstable</v>
      </c>
      <c r="G13">
        <f>IF(Table2[[#This Row],[VOLATILITY]]="High Volatility",1,0)</f>
        <v>0</v>
      </c>
      <c r="H13">
        <f>IF(Table2[[#This Row],[STABILITY]]="Stable",1,0)</f>
        <v>0</v>
      </c>
    </row>
    <row r="14" spans="1:8" x14ac:dyDescent="0.25">
      <c r="A14" t="str">
        <v>Fragrances</v>
      </c>
      <c r="B14">
        <f>AVERAGEIF(products[Category],A14,products[Stock])</f>
        <v>508</v>
      </c>
      <c r="C14" cm="1">
        <f t="array" ref="C14">IFERROR((_xlfn.STDEV.S(IF(products[Category]=A14,products[Stock]))),"NULL")</f>
        <v>111.79445424527998</v>
      </c>
      <c r="D14">
        <f>IFERROR(Table2[[#This Row],[SD]]/Table2[[#This Row],[Average Stock]],"NULL")</f>
        <v>0.22006782331748029</v>
      </c>
      <c r="E14" t="str">
        <f>IF(Table2[[#This Row],[CV]] &gt; AVERAGE(D14:D45),"High Volatility","Low volatility")</f>
        <v>Low volatility</v>
      </c>
      <c r="F14" t="str">
        <f>IF(Table2[[#This Row],[VOLATILITY]]="High Volatility","Stable","Unstable")</f>
        <v>Unstable</v>
      </c>
      <c r="G14">
        <f>IF(Table2[[#This Row],[VOLATILITY]]="High Volatility",1,0)</f>
        <v>0</v>
      </c>
      <c r="H14">
        <f>IF(Table2[[#This Row],[STABILITY]]="Stable",1,0)</f>
        <v>0</v>
      </c>
    </row>
    <row r="15" spans="1:8" x14ac:dyDescent="0.25">
      <c r="A15" t="str">
        <v>Furniture</v>
      </c>
      <c r="B15">
        <f>AVERAGEIF(products[Category],A15,products[Stock])</f>
        <v>339.5</v>
      </c>
      <c r="C15" cm="1">
        <f t="array" ref="C15">IFERROR((_xlfn.STDEV.S(IF(products[Category]=A15,products[Stock]))),"NULL")</f>
        <v>225.56706319850866</v>
      </c>
      <c r="D15">
        <f>IFERROR(Table2[[#This Row],[SD]]/Table2[[#This Row],[Average Stock]],"NULL")</f>
        <v>0.66440961177763969</v>
      </c>
      <c r="E15" t="str">
        <f>IF(Table2[[#This Row],[CV]] &gt; AVERAGE(D15:D46),"High Volatility","Low volatility")</f>
        <v>High Volatility</v>
      </c>
      <c r="F15" t="str">
        <f>IF(Table2[[#This Row],[VOLATILITY]]="High Volatility","Stable","Unstable")</f>
        <v>Stable</v>
      </c>
      <c r="G15">
        <f>IF(Table2[[#This Row],[VOLATILITY]]="High Volatility",1,0)</f>
        <v>1</v>
      </c>
      <c r="H15">
        <f>IF(Table2[[#This Row],[STABILITY]]="Stable",1,0)</f>
        <v>1</v>
      </c>
    </row>
    <row r="16" spans="1:8" x14ac:dyDescent="0.25">
      <c r="A16" t="str">
        <v>Grooming Tools</v>
      </c>
      <c r="B16">
        <f>AVERAGEIF(products[Category],A16,products[Stock])</f>
        <v>588.5</v>
      </c>
      <c r="C16" cm="1">
        <f t="array" ref="C16">IFERROR((_xlfn.STDEV.S(IF(products[Category]=A16,products[Stock]))),"NULL")</f>
        <v>111.01576464628796</v>
      </c>
      <c r="D16">
        <f>IFERROR(Table2[[#This Row],[SD]]/Table2[[#This Row],[Average Stock]],"NULL")</f>
        <v>0.1886419110387221</v>
      </c>
      <c r="E16" t="str">
        <f>IF(Table2[[#This Row],[CV]] &gt; AVERAGE(D16:D47),"High Volatility","Low volatility")</f>
        <v>Low volatility</v>
      </c>
      <c r="F16" t="str">
        <f>IF(Table2[[#This Row],[VOLATILITY]]="High Volatility","Stable","Unstable")</f>
        <v>Unstable</v>
      </c>
      <c r="G16">
        <f>IF(Table2[[#This Row],[VOLATILITY]]="High Volatility",1,0)</f>
        <v>0</v>
      </c>
      <c r="H16">
        <f>IF(Table2[[#This Row],[STABILITY]]="Stable",1,0)</f>
        <v>0</v>
      </c>
    </row>
    <row r="17" spans="1:8" x14ac:dyDescent="0.25">
      <c r="A17" t="str">
        <v>Haircare</v>
      </c>
      <c r="B17">
        <f>AVERAGEIF(products[Category],A17,products[Stock])</f>
        <v>694</v>
      </c>
      <c r="C17" cm="1">
        <f t="array" ref="C17">IFERROR((_xlfn.STDEV.S(IF(products[Category]=A17,products[Stock]))),"NULL")</f>
        <v>109.4120651482276</v>
      </c>
      <c r="D17">
        <f>IFERROR(Table2[[#This Row],[SD]]/Table2[[#This Row],[Average Stock]],"NULL")</f>
        <v>0.15765427254787839</v>
      </c>
      <c r="E17" t="str">
        <f>IF(Table2[[#This Row],[CV]] &gt; AVERAGE(D17:D48),"High Volatility","Low volatility")</f>
        <v>Low volatility</v>
      </c>
      <c r="F17" t="str">
        <f>IF(Table2[[#This Row],[VOLATILITY]]="High Volatility","Stable","Unstable")</f>
        <v>Unstable</v>
      </c>
      <c r="G17">
        <f>IF(Table2[[#This Row],[VOLATILITY]]="High Volatility",1,0)</f>
        <v>0</v>
      </c>
      <c r="H17">
        <f>IF(Table2[[#This Row],[STABILITY]]="Stable",1,0)</f>
        <v>0</v>
      </c>
    </row>
    <row r="18" spans="1:8" x14ac:dyDescent="0.25">
      <c r="A18" t="str">
        <v>Health &amp; Wellness</v>
      </c>
      <c r="B18">
        <f>AVERAGEIF(products[Category],A18,products[Stock])</f>
        <v>544.66666666666663</v>
      </c>
      <c r="C18" cm="1">
        <f t="array" ref="C18">IFERROR((_xlfn.STDEV.S(IF(products[Category]=A18,products[Stock]))),"NULL")</f>
        <v>232.4716470167204</v>
      </c>
      <c r="D18">
        <f>IFERROR(Table2[[#This Row],[SD]]/Table2[[#This Row],[Average Stock]],"NULL")</f>
        <v>0.42681452940646342</v>
      </c>
      <c r="E18" t="str">
        <f>IF(Table2[[#This Row],[CV]] &gt; AVERAGE(D18:D49),"High Volatility","Low volatility")</f>
        <v>Low volatility</v>
      </c>
      <c r="F18" t="str">
        <f>IF(Table2[[#This Row],[VOLATILITY]]="High Volatility","Stable","Unstable")</f>
        <v>Unstable</v>
      </c>
      <c r="G18">
        <f>IF(Table2[[#This Row],[VOLATILITY]]="High Volatility",1,0)</f>
        <v>0</v>
      </c>
      <c r="H18">
        <f>IF(Table2[[#This Row],[STABILITY]]="Stable",1,0)</f>
        <v>0</v>
      </c>
    </row>
    <row r="19" spans="1:8" x14ac:dyDescent="0.25">
      <c r="A19" t="str">
        <v>Home &amp; Kitchen</v>
      </c>
      <c r="B19">
        <f>AVERAGEIF(products[Category],A19,products[Stock])</f>
        <v>580</v>
      </c>
      <c r="C19" cm="1">
        <f t="array" ref="C19">IFERROR((_xlfn.STDEV.S(IF(products[Category]=A19,products[Stock]))),"NULL")</f>
        <v>236.17366491630688</v>
      </c>
      <c r="D19">
        <f>IFERROR(Table2[[#This Row],[SD]]/Table2[[#This Row],[Average Stock]],"NULL")</f>
        <v>0.40719597399363255</v>
      </c>
      <c r="E19" t="str">
        <f>IF(Table2[[#This Row],[CV]] &gt; AVERAGE(D19:D50),"High Volatility","Low volatility")</f>
        <v>Low volatility</v>
      </c>
      <c r="F19" t="str">
        <f>IF(Table2[[#This Row],[VOLATILITY]]="High Volatility","Stable","Unstable")</f>
        <v>Unstable</v>
      </c>
      <c r="G19">
        <f>IF(Table2[[#This Row],[VOLATILITY]]="High Volatility",1,0)</f>
        <v>0</v>
      </c>
      <c r="H19">
        <f>IF(Table2[[#This Row],[STABILITY]]="Stable",1,0)</f>
        <v>0</v>
      </c>
    </row>
    <row r="20" spans="1:8" x14ac:dyDescent="0.25">
      <c r="A20" t="str">
        <v>Home Decor</v>
      </c>
      <c r="B20">
        <f>AVERAGEIF(products[Category],A20,products[Stock])</f>
        <v>246.5</v>
      </c>
      <c r="C20" cm="1">
        <f t="array" ref="C20">IFERROR((_xlfn.STDEV.S(IF(products[Category]=A20,products[Stock]))),"NULL")</f>
        <v>270.82189719444773</v>
      </c>
      <c r="D20">
        <f>IFERROR(Table2[[#This Row],[SD]]/Table2[[#This Row],[Average Stock]],"NULL")</f>
        <v>1.0986689541356907</v>
      </c>
      <c r="E20" t="str">
        <f>IF(Table2[[#This Row],[CV]] &gt; AVERAGE(D20:D51),"High Volatility","Low volatility")</f>
        <v>High Volatility</v>
      </c>
      <c r="F20" t="str">
        <f>IF(Table2[[#This Row],[VOLATILITY]]="High Volatility","Stable","Unstable")</f>
        <v>Stable</v>
      </c>
      <c r="G20">
        <f>IF(Table2[[#This Row],[VOLATILITY]]="High Volatility",1,0)</f>
        <v>1</v>
      </c>
      <c r="H20">
        <f>IF(Table2[[#This Row],[STABILITY]]="Stable",1,0)</f>
        <v>1</v>
      </c>
    </row>
    <row r="21" spans="1:8" x14ac:dyDescent="0.25">
      <c r="A21" t="str">
        <v>Kids' Clothing</v>
      </c>
      <c r="B21">
        <f>AVERAGEIF(products[Category],A21,products[Stock])</f>
        <v>609.79999999999995</v>
      </c>
      <c r="C21" cm="1">
        <f t="array" ref="C21">IFERROR((_xlfn.STDEV.S(IF(products[Category]=A21,products[Stock]))),"NULL")</f>
        <v>408.39772281441532</v>
      </c>
      <c r="D21">
        <f>IFERROR(Table2[[#This Row],[SD]]/Table2[[#This Row],[Average Stock]],"NULL")</f>
        <v>0.66972404528438068</v>
      </c>
      <c r="E21" t="str">
        <f>IF(Table2[[#This Row],[CV]] &gt; AVERAGE(D21:D52),"High Volatility","Low volatility")</f>
        <v>High Volatility</v>
      </c>
      <c r="F21" t="str">
        <f>IF(Table2[[#This Row],[VOLATILITY]]="High Volatility","Stable","Unstable")</f>
        <v>Stable</v>
      </c>
      <c r="G21">
        <f>IF(Table2[[#This Row],[VOLATILITY]]="High Volatility",1,0)</f>
        <v>1</v>
      </c>
      <c r="H21">
        <f>IF(Table2[[#This Row],[STABILITY]]="Stable",1,0)</f>
        <v>1</v>
      </c>
    </row>
    <row r="22" spans="1:8" x14ac:dyDescent="0.25">
      <c r="A22" t="str">
        <v>Kitchen Appliances</v>
      </c>
      <c r="B22">
        <f>AVERAGEIF(products[Category],A22,products[Stock])</f>
        <v>857.33333333333337</v>
      </c>
      <c r="C22" cm="1">
        <f t="array" ref="C22">IFERROR((_xlfn.STDEV.S(IF(products[Category]=A22,products[Stock]))),"NULL")</f>
        <v>116.89881664641972</v>
      </c>
      <c r="D22">
        <f>IFERROR(Table2[[#This Row],[SD]]/Table2[[#This Row],[Average Stock]],"NULL")</f>
        <v>0.13635165238695923</v>
      </c>
      <c r="E22" t="str">
        <f>IF(Table2[[#This Row],[CV]] &gt; AVERAGE(D22:D53),"High Volatility","Low volatility")</f>
        <v>Low volatility</v>
      </c>
      <c r="F22" t="str">
        <f>IF(Table2[[#This Row],[VOLATILITY]]="High Volatility","Stable","Unstable")</f>
        <v>Unstable</v>
      </c>
      <c r="G22">
        <f>IF(Table2[[#This Row],[VOLATILITY]]="High Volatility",1,0)</f>
        <v>0</v>
      </c>
      <c r="H22">
        <f>IF(Table2[[#This Row],[STABILITY]]="Stable",1,0)</f>
        <v>0</v>
      </c>
    </row>
    <row r="23" spans="1:8" x14ac:dyDescent="0.25">
      <c r="A23" t="str">
        <v>Laptops &amp; Computers</v>
      </c>
      <c r="B23">
        <f>AVERAGEIF(products[Category],A23,products[Stock])</f>
        <v>687</v>
      </c>
      <c r="C23" cm="1">
        <f t="array" ref="C23">IFERROR((_xlfn.STDEV.S(IF(products[Category]=A23,products[Stock]))),"NULL")</f>
        <v>191.50195821453107</v>
      </c>
      <c r="D23">
        <f>IFERROR(Table2[[#This Row],[SD]]/Table2[[#This Row],[Average Stock]],"NULL")</f>
        <v>0.2787510308799579</v>
      </c>
      <c r="E23" t="str">
        <f>IF(Table2[[#This Row],[CV]] &gt; AVERAGE(D23:D54),"High Volatility","Low volatility")</f>
        <v>Low volatility</v>
      </c>
      <c r="F23" t="str">
        <f>IF(Table2[[#This Row],[VOLATILITY]]="High Volatility","Stable","Unstable")</f>
        <v>Unstable</v>
      </c>
      <c r="G23">
        <f>IF(Table2[[#This Row],[VOLATILITY]]="High Volatility",1,0)</f>
        <v>0</v>
      </c>
      <c r="H23">
        <f>IF(Table2[[#This Row],[STABILITY]]="Stable",1,0)</f>
        <v>0</v>
      </c>
    </row>
    <row r="24" spans="1:8" x14ac:dyDescent="0.25">
      <c r="A24" t="str">
        <v>Makeup</v>
      </c>
      <c r="B24">
        <f>AVERAGEIF(products[Category],A24,products[Stock])</f>
        <v>334.5</v>
      </c>
      <c r="C24" cm="1">
        <f t="array" ref="C24">IFERROR((_xlfn.STDEV.S(IF(products[Category]=A24,products[Stock]))),"NULL")</f>
        <v>446.18437892871151</v>
      </c>
      <c r="D24">
        <f>IFERROR(Table2[[#This Row],[SD]]/Table2[[#This Row],[Average Stock]],"NULL")</f>
        <v>1.3338845408930089</v>
      </c>
      <c r="E24" t="str">
        <f>IF(Table2[[#This Row],[CV]] &gt; AVERAGE(D24:D55),"High Volatility","Low volatility")</f>
        <v>High Volatility</v>
      </c>
      <c r="F24" t="str">
        <f>IF(Table2[[#This Row],[VOLATILITY]]="High Volatility","Stable","Unstable")</f>
        <v>Stable</v>
      </c>
      <c r="G24">
        <f>IF(Table2[[#This Row],[VOLATILITY]]="High Volatility",1,0)</f>
        <v>1</v>
      </c>
      <c r="H24">
        <f>IF(Table2[[#This Row],[STABILITY]]="Stable",1,0)</f>
        <v>1</v>
      </c>
    </row>
    <row r="25" spans="1:8" x14ac:dyDescent="0.25">
      <c r="A25" t="str">
        <v>Men's Clothing</v>
      </c>
      <c r="B25">
        <f>AVERAGEIF(products[Category],A25,products[Stock])</f>
        <v>698</v>
      </c>
      <c r="C25" cm="1">
        <f t="array" ref="C25">IFERROR((_xlfn.STDEV.S(IF(products[Category]=A25,products[Stock]))),"NULL")</f>
        <v>388.90872965260115</v>
      </c>
      <c r="D25">
        <f>IFERROR(Table2[[#This Row],[SD]]/Table2[[#This Row],[Average Stock]],"NULL")</f>
        <v>0.55717583044785268</v>
      </c>
      <c r="E25" t="str">
        <f>IF(Table2[[#This Row],[CV]] &gt; AVERAGE(D25:D56),"High Volatility","Low volatility")</f>
        <v>High Volatility</v>
      </c>
      <c r="F25" t="str">
        <f>IF(Table2[[#This Row],[VOLATILITY]]="High Volatility","Stable","Unstable")</f>
        <v>Stable</v>
      </c>
      <c r="G25">
        <f>IF(Table2[[#This Row],[VOLATILITY]]="High Volatility",1,0)</f>
        <v>1</v>
      </c>
      <c r="H25">
        <f>IF(Table2[[#This Row],[STABILITY]]="Stable",1,0)</f>
        <v>1</v>
      </c>
    </row>
    <row r="26" spans="1:8" x14ac:dyDescent="0.25">
      <c r="A26" t="str">
        <v>Office Supplies</v>
      </c>
      <c r="B26">
        <f>AVERAGEIF(products[Category],A26,products[Stock])</f>
        <v>477.8</v>
      </c>
      <c r="C26" cm="1">
        <f t="array" ref="C26">IFERROR((_xlfn.STDEV.S(IF(products[Category]=A26,products[Stock]))),"NULL")</f>
        <v>244.20217034252585</v>
      </c>
      <c r="D26">
        <f>IFERROR(Table2[[#This Row],[SD]]/Table2[[#This Row],[Average Stock]],"NULL")</f>
        <v>0.5110970496913475</v>
      </c>
      <c r="E26" t="str">
        <f>IF(Table2[[#This Row],[CV]] &gt; AVERAGE(D26:D57),"High Volatility","Low volatility")</f>
        <v>High Volatility</v>
      </c>
      <c r="F26" t="str">
        <f>IF(Table2[[#This Row],[VOLATILITY]]="High Volatility","Stable","Unstable")</f>
        <v>Stable</v>
      </c>
      <c r="G26">
        <f>IF(Table2[[#This Row],[VOLATILITY]]="High Volatility",1,0)</f>
        <v>1</v>
      </c>
      <c r="H26">
        <f>IF(Table2[[#This Row],[STABILITY]]="Stable",1,0)</f>
        <v>1</v>
      </c>
    </row>
    <row r="27" spans="1:8" x14ac:dyDescent="0.25">
      <c r="A27" t="str">
        <v>Shoes &amp; Footwear</v>
      </c>
      <c r="B27">
        <f>AVERAGEIF(products[Category],A27,products[Stock])</f>
        <v>222.5</v>
      </c>
      <c r="C27" cm="1">
        <f t="array" ref="C27">IFERROR((_xlfn.STDEV.S(IF(products[Category]=A27,products[Stock]))),"NULL")</f>
        <v>200.11121907579295</v>
      </c>
      <c r="D27">
        <f>IFERROR(Table2[[#This Row],[SD]]/Table2[[#This Row],[Average Stock]],"NULL")</f>
        <v>0.89937626550918182</v>
      </c>
      <c r="E27" t="str">
        <f>IF(Table2[[#This Row],[CV]] &gt; AVERAGE(D27:D58),"High Volatility","Low volatility")</f>
        <v>High Volatility</v>
      </c>
      <c r="F27" t="str">
        <f>IF(Table2[[#This Row],[VOLATILITY]]="High Volatility","Stable","Unstable")</f>
        <v>Stable</v>
      </c>
      <c r="G27">
        <f>IF(Table2[[#This Row],[VOLATILITY]]="High Volatility",1,0)</f>
        <v>1</v>
      </c>
      <c r="H27">
        <f>IF(Table2[[#This Row],[STABILITY]]="Stable",1,0)</f>
        <v>1</v>
      </c>
    </row>
    <row r="28" spans="1:8" x14ac:dyDescent="0.25">
      <c r="A28" t="str">
        <v>Skincare</v>
      </c>
      <c r="B28">
        <f>AVERAGEIF(products[Category],A28,products[Stock])</f>
        <v>541.66666666666663</v>
      </c>
      <c r="C28" cm="1">
        <f t="array" ref="C28">IFERROR((_xlfn.STDEV.S(IF(products[Category]=A28,products[Stock]))),"NULL")</f>
        <v>39.513710700633183</v>
      </c>
      <c r="D28">
        <f>IFERROR(Table2[[#This Row],[SD]]/Table2[[#This Row],[Average Stock]],"NULL")</f>
        <v>7.2948388985784346E-2</v>
      </c>
      <c r="E28" t="str">
        <f>IF(Table2[[#This Row],[CV]] &gt; AVERAGE(D28:D59),"High Volatility","Low volatility")</f>
        <v>Low volatility</v>
      </c>
      <c r="F28" t="str">
        <f>IF(Table2[[#This Row],[VOLATILITY]]="High Volatility","Stable","Unstable")</f>
        <v>Unstable</v>
      </c>
      <c r="G28">
        <f>IF(Table2[[#This Row],[VOLATILITY]]="High Volatility",1,0)</f>
        <v>0</v>
      </c>
      <c r="H28">
        <f>IF(Table2[[#This Row],[STABILITY]]="Stable",1,0)</f>
        <v>0</v>
      </c>
    </row>
    <row r="29" spans="1:8" x14ac:dyDescent="0.25">
      <c r="A29" t="str">
        <v>Smartphones</v>
      </c>
      <c r="B29">
        <f>AVERAGEIF(products[Category],A29,products[Stock])</f>
        <v>661.5</v>
      </c>
      <c r="C29" cm="1">
        <f t="array" ref="C29">IFERROR((_xlfn.STDEV.S(IF(products[Category]=A29,products[Stock]))),"NULL")</f>
        <v>236.39162421710293</v>
      </c>
      <c r="D29">
        <f>IFERROR(Table2[[#This Row],[SD]]/Table2[[#This Row],[Average Stock]],"NULL")</f>
        <v>0.3573569527091503</v>
      </c>
      <c r="E29" t="str">
        <f>IF(Table2[[#This Row],[CV]] &gt; AVERAGE(D29:D60),"High Volatility","Low volatility")</f>
        <v>Low volatility</v>
      </c>
      <c r="F29" t="str">
        <f>IF(Table2[[#This Row],[VOLATILITY]]="High Volatility","Stable","Unstable")</f>
        <v>Unstable</v>
      </c>
      <c r="G29">
        <f>IF(Table2[[#This Row],[VOLATILITY]]="High Volatility",1,0)</f>
        <v>0</v>
      </c>
      <c r="H29">
        <f>IF(Table2[[#This Row],[STABILITY]]="Stable",1,0)</f>
        <v>0</v>
      </c>
    </row>
    <row r="30" spans="1:8" x14ac:dyDescent="0.25">
      <c r="A30" t="str">
        <v>Smartwatches</v>
      </c>
      <c r="B30">
        <f>AVERAGEIF(products[Category],A30,products[Stock])</f>
        <v>208</v>
      </c>
      <c r="C30" cm="1">
        <f t="array" ref="C30">IFERROR((_xlfn.STDEV.S(IF(products[Category]=A30,products[Stock]))),"NULL")</f>
        <v>55.154328932550705</v>
      </c>
      <c r="D30">
        <f>IFERROR(Table2[[#This Row],[SD]]/Table2[[#This Row],[Average Stock]],"NULL")</f>
        <v>0.2651650429449553</v>
      </c>
      <c r="E30" t="str">
        <f>IF(Table2[[#This Row],[CV]] &gt; AVERAGE(D30:D61),"High Volatility","Low volatility")</f>
        <v>Low volatility</v>
      </c>
      <c r="F30" t="str">
        <f>IF(Table2[[#This Row],[VOLATILITY]]="High Volatility","Stable","Unstable")</f>
        <v>Unstable</v>
      </c>
      <c r="G30">
        <f>IF(Table2[[#This Row],[VOLATILITY]]="High Volatility",1,0)</f>
        <v>0</v>
      </c>
      <c r="H30">
        <f>IF(Table2[[#This Row],[STABILITY]]="Stable",1,0)</f>
        <v>0</v>
      </c>
    </row>
    <row r="31" spans="1:8" x14ac:dyDescent="0.25">
      <c r="A31" t="str">
        <v>Sports &amp; Outdoors</v>
      </c>
      <c r="B31">
        <f>AVERAGEIF(products[Category],A31,products[Stock])</f>
        <v>645.33333333333337</v>
      </c>
      <c r="C31" cm="1">
        <f t="array" ref="C31">IFERROR((_xlfn.STDEV.S(IF(products[Category]=A31,products[Stock]))),"NULL")</f>
        <v>314.1692749670683</v>
      </c>
      <c r="D31">
        <f>IFERROR(Table2[[#This Row],[SD]]/Table2[[#This Row],[Average Stock]],"NULL")</f>
        <v>0.48683255418450666</v>
      </c>
      <c r="E31" t="str">
        <f>IF(Table2[[#This Row],[CV]] &gt; AVERAGE(D31:D62),"High Volatility","Low volatility")</f>
        <v>Low volatility</v>
      </c>
      <c r="F31" t="str">
        <f>IF(Table2[[#This Row],[VOLATILITY]]="High Volatility","Stable","Unstable")</f>
        <v>Unstable</v>
      </c>
      <c r="G31">
        <f>IF(Table2[[#This Row],[VOLATILITY]]="High Volatility",1,0)</f>
        <v>0</v>
      </c>
      <c r="H31">
        <f>IF(Table2[[#This Row],[STABILITY]]="Stable",1,0)</f>
        <v>0</v>
      </c>
    </row>
    <row r="32" spans="1:8" x14ac:dyDescent="0.25">
      <c r="A32" t="str">
        <v>Team Sports</v>
      </c>
      <c r="B32">
        <f>AVERAGEIF(products[Category],A32,products[Stock])</f>
        <v>496.5</v>
      </c>
      <c r="C32" cm="1">
        <f t="array" ref="C32">IFERROR((_xlfn.STDEV.S(IF(products[Category]=A32,products[Stock]))),"NULL")</f>
        <v>236.88077169749343</v>
      </c>
      <c r="D32">
        <f>IFERROR(Table2[[#This Row],[SD]]/Table2[[#This Row],[Average Stock]],"NULL")</f>
        <v>0.47710125216010763</v>
      </c>
      <c r="E32" t="str">
        <f>IF(Table2[[#This Row],[CV]] &gt; AVERAGE(D32:D63),"High Volatility","Low volatility")</f>
        <v>Low volatility</v>
      </c>
      <c r="F32" t="str">
        <f>IF(Table2[[#This Row],[VOLATILITY]]="High Volatility","Stable","Unstable")</f>
        <v>Unstable</v>
      </c>
      <c r="G32">
        <f>IF(Table2[[#This Row],[VOLATILITY]]="High Volatility",1,0)</f>
        <v>0</v>
      </c>
      <c r="H32">
        <f>IF(Table2[[#This Row],[STABILITY]]="Stable",1,0)</f>
        <v>0</v>
      </c>
    </row>
    <row r="33" spans="1:8" x14ac:dyDescent="0.25">
      <c r="A33" t="str">
        <v>Women's Clothing</v>
      </c>
      <c r="B33">
        <f>AVERAGEIF(products[Category],A33,products[Stock])</f>
        <v>437.4</v>
      </c>
      <c r="C33" cm="1">
        <f t="array" ref="C33">IFERROR((_xlfn.STDEV.S(IF(products[Category]=A33,products[Stock]))),"NULL")</f>
        <v>278.88402607535625</v>
      </c>
      <c r="D33">
        <f>IFERROR(Table2[[#This Row],[SD]]/Table2[[#This Row],[Average Stock]],"NULL")</f>
        <v>0.63759493844388715</v>
      </c>
      <c r="E33" t="str">
        <f>IF(Table2[[#This Row],[CV]] &gt; AVERAGE(D33:D64),"High Volatility","Low volatility")</f>
        <v>High Volatility</v>
      </c>
      <c r="F33" t="str">
        <f>IF(Table2[[#This Row],[VOLATILITY]]="High Volatility","Stable","Unstable")</f>
        <v>Stable</v>
      </c>
      <c r="G33">
        <f>IF(Table2[[#This Row],[VOLATILITY]]="High Volatility",1,0)</f>
        <v>1</v>
      </c>
      <c r="H33">
        <f>IF(Table2[[#This Row],[STABILITY]]="Stable",1,0)</f>
        <v>1</v>
      </c>
    </row>
    <row r="34" spans="1:8" x14ac:dyDescent="0.25">
      <c r="A34">
        <v>0</v>
      </c>
      <c r="D34">
        <f>AVERAGE(D2:D33)</f>
        <v>0.51264599288120605</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073CA5-A66E-4411-94F7-D7A0B18F1C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Average price per category</vt:lpstr>
      <vt:lpstr>total stock per category</vt:lpstr>
      <vt:lpstr>Most expensive brands by avg pr</vt:lpstr>
      <vt:lpstr>Availability count per category</vt:lpstr>
      <vt:lpstr>Top 10 brands by stock</vt:lpstr>
      <vt:lpstr>Total price per category</vt:lpstr>
      <vt:lpstr>Total inventory value per cat</vt:lpstr>
      <vt:lpstr>Top 10 brands by inventory val</vt:lpstr>
      <vt:lpstr>Cat with the most high outliers</vt:lpstr>
      <vt:lpstr>Cat with the most stock outlier</vt:lpstr>
      <vt:lpstr>Cat stock against inv value</vt:lpstr>
      <vt:lpstr>Dashboard</vt:lpstr>
      <vt:lpstr>products</vt:lpstr>
      <vt:lpstr>LOOKUPTABLE1</vt:lpstr>
      <vt:lpstr>LOOKUPTABLE2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Ayomiposi Oyefeso</dc:creator>
  <cp:lastModifiedBy>Ayomiposi Oyefeso</cp:lastModifiedBy>
  <dcterms:created xsi:type="dcterms:W3CDTF">2026-04-20T15:01:28Z</dcterms:created>
  <dcterms:modified xsi:type="dcterms:W3CDTF">2026-06-09T17:27:54Z</dcterms:modified>
</cp:coreProperties>
</file>